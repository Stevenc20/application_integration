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IBEK Production\00. SILAHKAN\01. MONTHLY REPORT\TAHUN 2026\04. MONTHLY PERFORMANCE\"/>
    </mc:Choice>
  </mc:AlternateContent>
  <bookViews>
    <workbookView xWindow="0" yWindow="0" windowWidth="23040" windowHeight="9195" tabRatio="850" activeTab="1"/>
  </bookViews>
  <sheets>
    <sheet name="GSPH REPAIR REJECT 2026" sheetId="59" r:id="rId1"/>
    <sheet name="DETAIL 2026" sheetId="60" r:id="rId2"/>
    <sheet name="GSPH REPAIR REJECT 2026 (2)" sheetId="76" r:id="rId3"/>
    <sheet name="Sheet1" sheetId="68" state="hidden" r:id="rId4"/>
    <sheet name="PICA GSPH" sheetId="65" state="hidden" r:id="rId5"/>
    <sheet name="PICA GSPH FEB" sheetId="73" state="hidden" r:id="rId6"/>
    <sheet name="PICA GSPH MAR" sheetId="74" state="hidden" r:id="rId7"/>
    <sheet name="PICA GSPH APRIL" sheetId="75" state="hidden" r:id="rId8"/>
    <sheet name="PICA REPAIR" sheetId="66" state="hidden" r:id="rId9"/>
    <sheet name="PICA REJECT" sheetId="67" state="hidden" r:id="rId10"/>
    <sheet name="QTY A" sheetId="61" state="hidden" r:id="rId11"/>
    <sheet name="QTY B" sheetId="69" state="hidden" r:id="rId12"/>
    <sheet name="QTY C" sheetId="70" state="hidden" r:id="rId13"/>
    <sheet name="QTY D" sheetId="71" state="hidden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_123Graph_APRJ別負荷予測" localSheetId="2" hidden="1">#REF!</definedName>
    <definedName name="__123Graph_APRJ別負荷予測" localSheetId="7" hidden="1">#REF!</definedName>
    <definedName name="__123Graph_APRJ別負荷予測" localSheetId="5" hidden="1">#REF!</definedName>
    <definedName name="__123Graph_APRJ別負荷予測" localSheetId="6" hidden="1">#REF!</definedName>
    <definedName name="__123Graph_APRJ別負荷予測" localSheetId="11" hidden="1">#REF!</definedName>
    <definedName name="__123Graph_APRJ別負荷予測" localSheetId="12" hidden="1">#REF!</definedName>
    <definedName name="__123Graph_APRJ別負荷予測" localSheetId="13" hidden="1">#REF!</definedName>
    <definedName name="__123Graph_APRJ別負荷予測" hidden="1">#REF!</definedName>
    <definedName name="__123Graph_AWEAKNESS" localSheetId="2" hidden="1">'[1]ocean voyage'!#REF!</definedName>
    <definedName name="__123Graph_AWEAKNESS" localSheetId="7" hidden="1">'[1]ocean voyage'!#REF!</definedName>
    <definedName name="__123Graph_AWEAKNESS" localSheetId="5" hidden="1">'[1]ocean voyage'!#REF!</definedName>
    <definedName name="__123Graph_AWEAKNESS" localSheetId="6" hidden="1">'[1]ocean voyage'!#REF!</definedName>
    <definedName name="__123Graph_AWEAKNESS" localSheetId="11" hidden="1">'[1]ocean voyage'!#REF!</definedName>
    <definedName name="__123Graph_AWEAKNESS" localSheetId="12" hidden="1">'[1]ocean voyage'!#REF!</definedName>
    <definedName name="__123Graph_AWEAKNESS" localSheetId="13" hidden="1">'[1]ocean voyage'!#REF!</definedName>
    <definedName name="__123Graph_AWEAKNESS" hidden="1">'[1]ocean voyage'!#REF!</definedName>
    <definedName name="__123Graph_BPRJ別負荷予測" localSheetId="2" hidden="1">#REF!</definedName>
    <definedName name="__123Graph_BPRJ別負荷予測" localSheetId="7" hidden="1">#REF!</definedName>
    <definedName name="__123Graph_BPRJ別負荷予測" localSheetId="5" hidden="1">#REF!</definedName>
    <definedName name="__123Graph_BPRJ別負荷予測" localSheetId="6" hidden="1">#REF!</definedName>
    <definedName name="__123Graph_BPRJ別負荷予測" localSheetId="11" hidden="1">#REF!</definedName>
    <definedName name="__123Graph_BPRJ別負荷予測" localSheetId="12" hidden="1">#REF!</definedName>
    <definedName name="__123Graph_BPRJ別負荷予測" localSheetId="13" hidden="1">#REF!</definedName>
    <definedName name="__123Graph_BPRJ別負荷予測" hidden="1">#REF!</definedName>
    <definedName name="__123Graph_CPRJ別負荷予測" localSheetId="2" hidden="1">#REF!</definedName>
    <definedName name="__123Graph_CPRJ別負荷予測" localSheetId="7" hidden="1">#REF!</definedName>
    <definedName name="__123Graph_CPRJ別負荷予測" localSheetId="5" hidden="1">#REF!</definedName>
    <definedName name="__123Graph_CPRJ別負荷予測" localSheetId="6" hidden="1">#REF!</definedName>
    <definedName name="__123Graph_CPRJ別負荷予測" localSheetId="11" hidden="1">#REF!</definedName>
    <definedName name="__123Graph_CPRJ別負荷予測" localSheetId="12" hidden="1">#REF!</definedName>
    <definedName name="__123Graph_CPRJ別負荷予測" localSheetId="13" hidden="1">#REF!</definedName>
    <definedName name="__123Graph_CPRJ別負荷予測" hidden="1">#REF!</definedName>
    <definedName name="__123Graph_DPRJ別負荷予測" localSheetId="2" hidden="1">#REF!</definedName>
    <definedName name="__123Graph_DPRJ別負荷予測" localSheetId="7" hidden="1">#REF!</definedName>
    <definedName name="__123Graph_DPRJ別負荷予測" localSheetId="5" hidden="1">#REF!</definedName>
    <definedName name="__123Graph_DPRJ別負荷予測" localSheetId="6" hidden="1">#REF!</definedName>
    <definedName name="__123Graph_DPRJ別負荷予測" localSheetId="11" hidden="1">#REF!</definedName>
    <definedName name="__123Graph_DPRJ別負荷予測" localSheetId="12" hidden="1">#REF!</definedName>
    <definedName name="__123Graph_DPRJ別負荷予測" localSheetId="13" hidden="1">#REF!</definedName>
    <definedName name="__123Graph_DPRJ別負荷予測" hidden="1">#REF!</definedName>
    <definedName name="__123Graph_EPRJ別負荷予測" localSheetId="2" hidden="1">#REF!</definedName>
    <definedName name="__123Graph_EPRJ別負荷予測" localSheetId="7" hidden="1">#REF!</definedName>
    <definedName name="__123Graph_EPRJ別負荷予測" localSheetId="5" hidden="1">#REF!</definedName>
    <definedName name="__123Graph_EPRJ別負荷予測" localSheetId="6" hidden="1">#REF!</definedName>
    <definedName name="__123Graph_EPRJ別負荷予測" localSheetId="11" hidden="1">#REF!</definedName>
    <definedName name="__123Graph_EPRJ別負荷予測" localSheetId="12" hidden="1">#REF!</definedName>
    <definedName name="__123Graph_EPRJ別負荷予測" localSheetId="13" hidden="1">#REF!</definedName>
    <definedName name="__123Graph_EPRJ別負荷予測" hidden="1">#REF!</definedName>
    <definedName name="__123Graph_LBL_AWEAKNESS" localSheetId="2" hidden="1">'[1]ocean voyage'!#REF!</definedName>
    <definedName name="__123Graph_LBL_AWEAKNESS" localSheetId="7" hidden="1">'[1]ocean voyage'!#REF!</definedName>
    <definedName name="__123Graph_LBL_AWEAKNESS" localSheetId="5" hidden="1">'[1]ocean voyage'!#REF!</definedName>
    <definedName name="__123Graph_LBL_AWEAKNESS" localSheetId="6" hidden="1">'[1]ocean voyage'!#REF!</definedName>
    <definedName name="__123Graph_LBL_AWEAKNESS" localSheetId="11" hidden="1">'[1]ocean voyage'!#REF!</definedName>
    <definedName name="__123Graph_LBL_AWEAKNESS" localSheetId="12" hidden="1">'[1]ocean voyage'!#REF!</definedName>
    <definedName name="__123Graph_LBL_AWEAKNESS" localSheetId="13" hidden="1">'[1]ocean voyage'!#REF!</definedName>
    <definedName name="__123Graph_LBL_AWEAKNESS" hidden="1">'[1]ocean voyage'!#REF!</definedName>
    <definedName name="__123Graph_XPRJ別負荷予測" localSheetId="2" hidden="1">#REF!</definedName>
    <definedName name="__123Graph_XPRJ別負荷予測" localSheetId="7" hidden="1">#REF!</definedName>
    <definedName name="__123Graph_XPRJ別負荷予測" localSheetId="5" hidden="1">#REF!</definedName>
    <definedName name="__123Graph_XPRJ別負荷予測" localSheetId="6" hidden="1">#REF!</definedName>
    <definedName name="__123Graph_XPRJ別負荷予測" localSheetId="11" hidden="1">#REF!</definedName>
    <definedName name="__123Graph_XPRJ別負荷予測" localSheetId="12" hidden="1">#REF!</definedName>
    <definedName name="__123Graph_XPRJ別負荷予測" localSheetId="13" hidden="1">#REF!</definedName>
    <definedName name="__123Graph_XPRJ別負荷予測" hidden="1">#REF!</definedName>
    <definedName name="__123Graph_XWEAKNESS" localSheetId="2" hidden="1">'[1]ocean voyage'!#REF!</definedName>
    <definedName name="__123Graph_XWEAKNESS" localSheetId="7" hidden="1">'[1]ocean voyage'!#REF!</definedName>
    <definedName name="__123Graph_XWEAKNESS" localSheetId="5" hidden="1">'[1]ocean voyage'!#REF!</definedName>
    <definedName name="__123Graph_XWEAKNESS" localSheetId="6" hidden="1">'[1]ocean voyage'!#REF!</definedName>
    <definedName name="__123Graph_XWEAKNESS" localSheetId="11" hidden="1">'[1]ocean voyage'!#REF!</definedName>
    <definedName name="__123Graph_XWEAKNESS" localSheetId="12" hidden="1">'[1]ocean voyage'!#REF!</definedName>
    <definedName name="__123Graph_XWEAKNESS" localSheetId="13" hidden="1">'[1]ocean voyage'!#REF!</definedName>
    <definedName name="__123Graph_XWEAKNESS" hidden="1">'[1]ocean voyage'!#REF!</definedName>
    <definedName name="__xlfn.BAHTTEXT" hidden="1">#NAME?</definedName>
    <definedName name="_100__123Graph_Dｸﾞﾗﾌ_3" localSheetId="2" hidden="1">#REF!</definedName>
    <definedName name="_100__123Graph_Dｸﾞﾗﾌ_3" localSheetId="7" hidden="1">#REF!</definedName>
    <definedName name="_100__123Graph_Dｸﾞﾗﾌ_3" localSheetId="5" hidden="1">#REF!</definedName>
    <definedName name="_100__123Graph_Dｸﾞﾗﾌ_3" localSheetId="6" hidden="1">#REF!</definedName>
    <definedName name="_100__123Graph_Dｸﾞﾗﾌ_3" localSheetId="11" hidden="1">#REF!</definedName>
    <definedName name="_100__123Graph_Dｸﾞﾗﾌ_3" localSheetId="12" hidden="1">#REF!</definedName>
    <definedName name="_100__123Graph_Dｸﾞﾗﾌ_3" localSheetId="13" hidden="1">#REF!</definedName>
    <definedName name="_100__123Graph_Dｸﾞﾗﾌ_3" hidden="1">#REF!</definedName>
    <definedName name="_101__123Graph_Dｸﾞﾗﾌ_4" localSheetId="2" hidden="1">#REF!</definedName>
    <definedName name="_101__123Graph_Dｸﾞﾗﾌ_4" localSheetId="7" hidden="1">#REF!</definedName>
    <definedName name="_101__123Graph_Dｸﾞﾗﾌ_4" localSheetId="5" hidden="1">#REF!</definedName>
    <definedName name="_101__123Graph_Dｸﾞﾗﾌ_4" localSheetId="6" hidden="1">#REF!</definedName>
    <definedName name="_101__123Graph_Dｸﾞﾗﾌ_4" localSheetId="11" hidden="1">#REF!</definedName>
    <definedName name="_101__123Graph_Dｸﾞﾗﾌ_4" localSheetId="12" hidden="1">#REF!</definedName>
    <definedName name="_101__123Graph_Dｸﾞﾗﾌ_4" localSheetId="13" hidden="1">#REF!</definedName>
    <definedName name="_101__123Graph_Dｸﾞﾗﾌ_4" hidden="1">#REF!</definedName>
    <definedName name="_102__123Graph_Dｸﾞﾗﾌ_5" localSheetId="2" hidden="1">#REF!</definedName>
    <definedName name="_102__123Graph_Dｸﾞﾗﾌ_5" localSheetId="7" hidden="1">#REF!</definedName>
    <definedName name="_102__123Graph_Dｸﾞﾗﾌ_5" localSheetId="5" hidden="1">#REF!</definedName>
    <definedName name="_102__123Graph_Dｸﾞﾗﾌ_5" localSheetId="6" hidden="1">#REF!</definedName>
    <definedName name="_102__123Graph_Dｸﾞﾗﾌ_5" localSheetId="11" hidden="1">#REF!</definedName>
    <definedName name="_102__123Graph_Dｸﾞﾗﾌ_5" localSheetId="12" hidden="1">#REF!</definedName>
    <definedName name="_102__123Graph_Dｸﾞﾗﾌ_5" localSheetId="13" hidden="1">#REF!</definedName>
    <definedName name="_102__123Graph_Dｸﾞﾗﾌ_5" hidden="1">#REF!</definedName>
    <definedName name="_103__123Graph_Dｸﾞﾗﾌ_7" localSheetId="2" hidden="1">#REF!</definedName>
    <definedName name="_103__123Graph_Dｸﾞﾗﾌ_7" localSheetId="7" hidden="1">#REF!</definedName>
    <definedName name="_103__123Graph_Dｸﾞﾗﾌ_7" localSheetId="5" hidden="1">#REF!</definedName>
    <definedName name="_103__123Graph_Dｸﾞﾗﾌ_7" localSheetId="6" hidden="1">#REF!</definedName>
    <definedName name="_103__123Graph_Dｸﾞﾗﾌ_7" localSheetId="11" hidden="1">#REF!</definedName>
    <definedName name="_103__123Graph_Dｸﾞﾗﾌ_7" localSheetId="12" hidden="1">#REF!</definedName>
    <definedName name="_103__123Graph_Dｸﾞﾗﾌ_7" localSheetId="13" hidden="1">#REF!</definedName>
    <definedName name="_103__123Graph_Dｸﾞﾗﾌ_7" hidden="1">#REF!</definedName>
    <definedName name="_104__123Graph_Dｸﾞﾗﾌ_9" localSheetId="2" hidden="1">#REF!</definedName>
    <definedName name="_104__123Graph_Dｸﾞﾗﾌ_9" localSheetId="7" hidden="1">#REF!</definedName>
    <definedName name="_104__123Graph_Dｸﾞﾗﾌ_9" localSheetId="5" hidden="1">#REF!</definedName>
    <definedName name="_104__123Graph_Dｸﾞﾗﾌ_9" localSheetId="6" hidden="1">#REF!</definedName>
    <definedName name="_104__123Graph_Dｸﾞﾗﾌ_9" localSheetId="11" hidden="1">#REF!</definedName>
    <definedName name="_104__123Graph_Dｸﾞﾗﾌ_9" localSheetId="12" hidden="1">#REF!</definedName>
    <definedName name="_104__123Graph_Dｸﾞﾗﾌ_9" localSheetId="13" hidden="1">#REF!</definedName>
    <definedName name="_104__123Graph_Dｸﾞﾗﾌ_9" hidden="1">#REF!</definedName>
    <definedName name="_105__123Graph_Eｸﾞﾗﾌ_1" localSheetId="2" hidden="1">#REF!</definedName>
    <definedName name="_105__123Graph_Eｸﾞﾗﾌ_1" localSheetId="7" hidden="1">#REF!</definedName>
    <definedName name="_105__123Graph_Eｸﾞﾗﾌ_1" localSheetId="5" hidden="1">#REF!</definedName>
    <definedName name="_105__123Graph_Eｸﾞﾗﾌ_1" localSheetId="6" hidden="1">#REF!</definedName>
    <definedName name="_105__123Graph_Eｸﾞﾗﾌ_1" localSheetId="11" hidden="1">#REF!</definedName>
    <definedName name="_105__123Graph_Eｸﾞﾗﾌ_1" localSheetId="12" hidden="1">#REF!</definedName>
    <definedName name="_105__123Graph_Eｸﾞﾗﾌ_1" localSheetId="13" hidden="1">#REF!</definedName>
    <definedName name="_105__123Graph_Eｸﾞﾗﾌ_1" hidden="1">#REF!</definedName>
    <definedName name="_106__123Graph_Eｸﾞﾗﾌ_10" localSheetId="2" hidden="1">#REF!</definedName>
    <definedName name="_106__123Graph_Eｸﾞﾗﾌ_10" localSheetId="7" hidden="1">#REF!</definedName>
    <definedName name="_106__123Graph_Eｸﾞﾗﾌ_10" localSheetId="5" hidden="1">#REF!</definedName>
    <definedName name="_106__123Graph_Eｸﾞﾗﾌ_10" localSheetId="6" hidden="1">#REF!</definedName>
    <definedName name="_106__123Graph_Eｸﾞﾗﾌ_10" localSheetId="11" hidden="1">#REF!</definedName>
    <definedName name="_106__123Graph_Eｸﾞﾗﾌ_10" localSheetId="12" hidden="1">#REF!</definedName>
    <definedName name="_106__123Graph_Eｸﾞﾗﾌ_10" localSheetId="13" hidden="1">#REF!</definedName>
    <definedName name="_106__123Graph_Eｸﾞﾗﾌ_10" hidden="1">#REF!</definedName>
    <definedName name="_107__123Graph_Eｸﾞﾗﾌ_11" localSheetId="2" hidden="1">#REF!</definedName>
    <definedName name="_107__123Graph_Eｸﾞﾗﾌ_11" localSheetId="7" hidden="1">#REF!</definedName>
    <definedName name="_107__123Graph_Eｸﾞﾗﾌ_11" localSheetId="5" hidden="1">#REF!</definedName>
    <definedName name="_107__123Graph_Eｸﾞﾗﾌ_11" localSheetId="6" hidden="1">#REF!</definedName>
    <definedName name="_107__123Graph_Eｸﾞﾗﾌ_11" localSheetId="11" hidden="1">#REF!</definedName>
    <definedName name="_107__123Graph_Eｸﾞﾗﾌ_11" localSheetId="12" hidden="1">#REF!</definedName>
    <definedName name="_107__123Graph_Eｸﾞﾗﾌ_11" localSheetId="13" hidden="1">#REF!</definedName>
    <definedName name="_107__123Graph_Eｸﾞﾗﾌ_11" hidden="1">#REF!</definedName>
    <definedName name="_108__123Graph_Eｸﾞﾗﾌ_12" localSheetId="2" hidden="1">#REF!</definedName>
    <definedName name="_108__123Graph_Eｸﾞﾗﾌ_12" localSheetId="7" hidden="1">#REF!</definedName>
    <definedName name="_108__123Graph_Eｸﾞﾗﾌ_12" localSheetId="5" hidden="1">#REF!</definedName>
    <definedName name="_108__123Graph_Eｸﾞﾗﾌ_12" localSheetId="6" hidden="1">#REF!</definedName>
    <definedName name="_108__123Graph_Eｸﾞﾗﾌ_12" localSheetId="11" hidden="1">#REF!</definedName>
    <definedName name="_108__123Graph_Eｸﾞﾗﾌ_12" localSheetId="12" hidden="1">#REF!</definedName>
    <definedName name="_108__123Graph_Eｸﾞﾗﾌ_12" localSheetId="13" hidden="1">#REF!</definedName>
    <definedName name="_108__123Graph_Eｸﾞﾗﾌ_12" hidden="1">#REF!</definedName>
    <definedName name="_109__123Graph_Eｸﾞﾗﾌ_13" localSheetId="2" hidden="1">#REF!</definedName>
    <definedName name="_109__123Graph_Eｸﾞﾗﾌ_13" localSheetId="7" hidden="1">#REF!</definedName>
    <definedName name="_109__123Graph_Eｸﾞﾗﾌ_13" localSheetId="5" hidden="1">#REF!</definedName>
    <definedName name="_109__123Graph_Eｸﾞﾗﾌ_13" localSheetId="6" hidden="1">#REF!</definedName>
    <definedName name="_109__123Graph_Eｸﾞﾗﾌ_13" localSheetId="11" hidden="1">#REF!</definedName>
    <definedName name="_109__123Graph_Eｸﾞﾗﾌ_13" localSheetId="12" hidden="1">#REF!</definedName>
    <definedName name="_109__123Graph_Eｸﾞﾗﾌ_13" localSheetId="13" hidden="1">#REF!</definedName>
    <definedName name="_109__123Graph_Eｸﾞﾗﾌ_13" hidden="1">#REF!</definedName>
    <definedName name="_11" localSheetId="2" hidden="1">#REF!</definedName>
    <definedName name="_11" localSheetId="7" hidden="1">#REF!</definedName>
    <definedName name="_11" localSheetId="5" hidden="1">#REF!</definedName>
    <definedName name="_11" localSheetId="6" hidden="1">#REF!</definedName>
    <definedName name="_11" localSheetId="11" hidden="1">#REF!</definedName>
    <definedName name="_11" localSheetId="12" hidden="1">#REF!</definedName>
    <definedName name="_11" localSheetId="13" hidden="1">#REF!</definedName>
    <definedName name="_11" hidden="1">#REF!</definedName>
    <definedName name="_110__123Graph_Eｸﾞﾗﾌ_14" localSheetId="2" hidden="1">#REF!</definedName>
    <definedName name="_110__123Graph_Eｸﾞﾗﾌ_14" localSheetId="7" hidden="1">#REF!</definedName>
    <definedName name="_110__123Graph_Eｸﾞﾗﾌ_14" localSheetId="5" hidden="1">#REF!</definedName>
    <definedName name="_110__123Graph_Eｸﾞﾗﾌ_14" localSheetId="6" hidden="1">#REF!</definedName>
    <definedName name="_110__123Graph_Eｸﾞﾗﾌ_14" localSheetId="11" hidden="1">#REF!</definedName>
    <definedName name="_110__123Graph_Eｸﾞﾗﾌ_14" localSheetId="12" hidden="1">#REF!</definedName>
    <definedName name="_110__123Graph_Eｸﾞﾗﾌ_14" localSheetId="13" hidden="1">#REF!</definedName>
    <definedName name="_110__123Graph_Eｸﾞﾗﾌ_14" hidden="1">#REF!</definedName>
    <definedName name="_111__123Graph_Eｸﾞﾗﾌ_2" localSheetId="2" hidden="1">#REF!</definedName>
    <definedName name="_111__123Graph_Eｸﾞﾗﾌ_2" localSheetId="7" hidden="1">#REF!</definedName>
    <definedName name="_111__123Graph_Eｸﾞﾗﾌ_2" localSheetId="5" hidden="1">#REF!</definedName>
    <definedName name="_111__123Graph_Eｸﾞﾗﾌ_2" localSheetId="6" hidden="1">#REF!</definedName>
    <definedName name="_111__123Graph_Eｸﾞﾗﾌ_2" localSheetId="11" hidden="1">#REF!</definedName>
    <definedName name="_111__123Graph_Eｸﾞﾗﾌ_2" localSheetId="12" hidden="1">#REF!</definedName>
    <definedName name="_111__123Graph_Eｸﾞﾗﾌ_2" localSheetId="13" hidden="1">#REF!</definedName>
    <definedName name="_111__123Graph_Eｸﾞﾗﾌ_2" hidden="1">#REF!</definedName>
    <definedName name="_112__123Graph_Eｸﾞﾗﾌ_3" localSheetId="2" hidden="1">#REF!</definedName>
    <definedName name="_112__123Graph_Eｸﾞﾗﾌ_3" localSheetId="7" hidden="1">#REF!</definedName>
    <definedName name="_112__123Graph_Eｸﾞﾗﾌ_3" localSheetId="5" hidden="1">#REF!</definedName>
    <definedName name="_112__123Graph_Eｸﾞﾗﾌ_3" localSheetId="6" hidden="1">#REF!</definedName>
    <definedName name="_112__123Graph_Eｸﾞﾗﾌ_3" localSheetId="11" hidden="1">#REF!</definedName>
    <definedName name="_112__123Graph_Eｸﾞﾗﾌ_3" localSheetId="12" hidden="1">#REF!</definedName>
    <definedName name="_112__123Graph_Eｸﾞﾗﾌ_3" localSheetId="13" hidden="1">#REF!</definedName>
    <definedName name="_112__123Graph_Eｸﾞﾗﾌ_3" hidden="1">#REF!</definedName>
    <definedName name="_113__123Graph_Eｸﾞﾗﾌ_4" localSheetId="2" hidden="1">#REF!</definedName>
    <definedName name="_113__123Graph_Eｸﾞﾗﾌ_4" localSheetId="7" hidden="1">#REF!</definedName>
    <definedName name="_113__123Graph_Eｸﾞﾗﾌ_4" localSheetId="5" hidden="1">#REF!</definedName>
    <definedName name="_113__123Graph_Eｸﾞﾗﾌ_4" localSheetId="6" hidden="1">#REF!</definedName>
    <definedName name="_113__123Graph_Eｸﾞﾗﾌ_4" localSheetId="11" hidden="1">#REF!</definedName>
    <definedName name="_113__123Graph_Eｸﾞﾗﾌ_4" localSheetId="12" hidden="1">#REF!</definedName>
    <definedName name="_113__123Graph_Eｸﾞﾗﾌ_4" localSheetId="13" hidden="1">#REF!</definedName>
    <definedName name="_113__123Graph_Eｸﾞﾗﾌ_4" hidden="1">#REF!</definedName>
    <definedName name="_114__123Graph_Eｸﾞﾗﾌ_5" localSheetId="2" hidden="1">#REF!</definedName>
    <definedName name="_114__123Graph_Eｸﾞﾗﾌ_5" localSheetId="7" hidden="1">#REF!</definedName>
    <definedName name="_114__123Graph_Eｸﾞﾗﾌ_5" localSheetId="5" hidden="1">#REF!</definedName>
    <definedName name="_114__123Graph_Eｸﾞﾗﾌ_5" localSheetId="6" hidden="1">#REF!</definedName>
    <definedName name="_114__123Graph_Eｸﾞﾗﾌ_5" localSheetId="11" hidden="1">#REF!</definedName>
    <definedName name="_114__123Graph_Eｸﾞﾗﾌ_5" localSheetId="12" hidden="1">#REF!</definedName>
    <definedName name="_114__123Graph_Eｸﾞﾗﾌ_5" localSheetId="13" hidden="1">#REF!</definedName>
    <definedName name="_114__123Graph_Eｸﾞﾗﾌ_5" hidden="1">#REF!</definedName>
    <definedName name="_115__123Graph_Eｸﾞﾗﾌ_6" localSheetId="2" hidden="1">#REF!</definedName>
    <definedName name="_115__123Graph_Eｸﾞﾗﾌ_6" localSheetId="7" hidden="1">#REF!</definedName>
    <definedName name="_115__123Graph_Eｸﾞﾗﾌ_6" localSheetId="5" hidden="1">#REF!</definedName>
    <definedName name="_115__123Graph_Eｸﾞﾗﾌ_6" localSheetId="6" hidden="1">#REF!</definedName>
    <definedName name="_115__123Graph_Eｸﾞﾗﾌ_6" localSheetId="11" hidden="1">#REF!</definedName>
    <definedName name="_115__123Graph_Eｸﾞﾗﾌ_6" localSheetId="12" hidden="1">#REF!</definedName>
    <definedName name="_115__123Graph_Eｸﾞﾗﾌ_6" localSheetId="13" hidden="1">#REF!</definedName>
    <definedName name="_115__123Graph_Eｸﾞﾗﾌ_6" hidden="1">#REF!</definedName>
    <definedName name="_116__123Graph_Eｸﾞﾗﾌ_7" localSheetId="2" hidden="1">#REF!</definedName>
    <definedName name="_116__123Graph_Eｸﾞﾗﾌ_7" localSheetId="7" hidden="1">#REF!</definedName>
    <definedName name="_116__123Graph_Eｸﾞﾗﾌ_7" localSheetId="5" hidden="1">#REF!</definedName>
    <definedName name="_116__123Graph_Eｸﾞﾗﾌ_7" localSheetId="6" hidden="1">#REF!</definedName>
    <definedName name="_116__123Graph_Eｸﾞﾗﾌ_7" localSheetId="11" hidden="1">#REF!</definedName>
    <definedName name="_116__123Graph_Eｸﾞﾗﾌ_7" localSheetId="12" hidden="1">#REF!</definedName>
    <definedName name="_116__123Graph_Eｸﾞﾗﾌ_7" localSheetId="13" hidden="1">#REF!</definedName>
    <definedName name="_116__123Graph_Eｸﾞﾗﾌ_7" hidden="1">#REF!</definedName>
    <definedName name="_117__123Graph_Eｸﾞﾗﾌ_9" localSheetId="2" hidden="1">#REF!</definedName>
    <definedName name="_117__123Graph_Eｸﾞﾗﾌ_9" localSheetId="7" hidden="1">#REF!</definedName>
    <definedName name="_117__123Graph_Eｸﾞﾗﾌ_9" localSheetId="5" hidden="1">#REF!</definedName>
    <definedName name="_117__123Graph_Eｸﾞﾗﾌ_9" localSheetId="6" hidden="1">#REF!</definedName>
    <definedName name="_117__123Graph_Eｸﾞﾗﾌ_9" localSheetId="11" hidden="1">#REF!</definedName>
    <definedName name="_117__123Graph_Eｸﾞﾗﾌ_9" localSheetId="12" hidden="1">#REF!</definedName>
    <definedName name="_117__123Graph_Eｸﾞﾗﾌ_9" localSheetId="13" hidden="1">#REF!</definedName>
    <definedName name="_117__123Graph_Eｸﾞﾗﾌ_9" hidden="1">#REF!</definedName>
    <definedName name="_118__123Graph_Fｸﾞﾗﾌ_1" localSheetId="2" hidden="1">#REF!</definedName>
    <definedName name="_118__123Graph_Fｸﾞﾗﾌ_1" localSheetId="7" hidden="1">#REF!</definedName>
    <definedName name="_118__123Graph_Fｸﾞﾗﾌ_1" localSheetId="5" hidden="1">#REF!</definedName>
    <definedName name="_118__123Graph_Fｸﾞﾗﾌ_1" localSheetId="6" hidden="1">#REF!</definedName>
    <definedName name="_118__123Graph_Fｸﾞﾗﾌ_1" localSheetId="11" hidden="1">#REF!</definedName>
    <definedName name="_118__123Graph_Fｸﾞﾗﾌ_1" localSheetId="12" hidden="1">#REF!</definedName>
    <definedName name="_118__123Graph_Fｸﾞﾗﾌ_1" localSheetId="13" hidden="1">#REF!</definedName>
    <definedName name="_118__123Graph_Fｸﾞﾗﾌ_1" hidden="1">#REF!</definedName>
    <definedName name="_119__123Graph_Fｸﾞﾗﾌ_10" localSheetId="2" hidden="1">#REF!</definedName>
    <definedName name="_119__123Graph_Fｸﾞﾗﾌ_10" localSheetId="7" hidden="1">#REF!</definedName>
    <definedName name="_119__123Graph_Fｸﾞﾗﾌ_10" localSheetId="5" hidden="1">#REF!</definedName>
    <definedName name="_119__123Graph_Fｸﾞﾗﾌ_10" localSheetId="6" hidden="1">#REF!</definedName>
    <definedName name="_119__123Graph_Fｸﾞﾗﾌ_10" localSheetId="11" hidden="1">#REF!</definedName>
    <definedName name="_119__123Graph_Fｸﾞﾗﾌ_10" localSheetId="12" hidden="1">#REF!</definedName>
    <definedName name="_119__123Graph_Fｸﾞﾗﾌ_10" localSheetId="13" hidden="1">#REF!</definedName>
    <definedName name="_119__123Graph_Fｸﾞﾗﾌ_10" hidden="1">#REF!</definedName>
    <definedName name="_120__123Graph_Fｸﾞﾗﾌ_11" localSheetId="2" hidden="1">#REF!</definedName>
    <definedName name="_120__123Graph_Fｸﾞﾗﾌ_11" localSheetId="7" hidden="1">#REF!</definedName>
    <definedName name="_120__123Graph_Fｸﾞﾗﾌ_11" localSheetId="5" hidden="1">#REF!</definedName>
    <definedName name="_120__123Graph_Fｸﾞﾗﾌ_11" localSheetId="6" hidden="1">#REF!</definedName>
    <definedName name="_120__123Graph_Fｸﾞﾗﾌ_11" localSheetId="11" hidden="1">#REF!</definedName>
    <definedName name="_120__123Graph_Fｸﾞﾗﾌ_11" localSheetId="12" hidden="1">#REF!</definedName>
    <definedName name="_120__123Graph_Fｸﾞﾗﾌ_11" localSheetId="13" hidden="1">#REF!</definedName>
    <definedName name="_120__123Graph_Fｸﾞﾗﾌ_11" hidden="1">#REF!</definedName>
    <definedName name="_121__123Graph_Fｸﾞﾗﾌ_12" localSheetId="2" hidden="1">#REF!</definedName>
    <definedName name="_121__123Graph_Fｸﾞﾗﾌ_12" localSheetId="7" hidden="1">#REF!</definedName>
    <definedName name="_121__123Graph_Fｸﾞﾗﾌ_12" localSheetId="5" hidden="1">#REF!</definedName>
    <definedName name="_121__123Graph_Fｸﾞﾗﾌ_12" localSheetId="6" hidden="1">#REF!</definedName>
    <definedName name="_121__123Graph_Fｸﾞﾗﾌ_12" localSheetId="11" hidden="1">#REF!</definedName>
    <definedName name="_121__123Graph_Fｸﾞﾗﾌ_12" localSheetId="12" hidden="1">#REF!</definedName>
    <definedName name="_121__123Graph_Fｸﾞﾗﾌ_12" localSheetId="13" hidden="1">#REF!</definedName>
    <definedName name="_121__123Graph_Fｸﾞﾗﾌ_12" hidden="1">#REF!</definedName>
    <definedName name="_122__123Graph_Fｸﾞﾗﾌ_13" localSheetId="2" hidden="1">#REF!</definedName>
    <definedName name="_122__123Graph_Fｸﾞﾗﾌ_13" localSheetId="7" hidden="1">#REF!</definedName>
    <definedName name="_122__123Graph_Fｸﾞﾗﾌ_13" localSheetId="5" hidden="1">#REF!</definedName>
    <definedName name="_122__123Graph_Fｸﾞﾗﾌ_13" localSheetId="6" hidden="1">#REF!</definedName>
    <definedName name="_122__123Graph_Fｸﾞﾗﾌ_13" localSheetId="11" hidden="1">#REF!</definedName>
    <definedName name="_122__123Graph_Fｸﾞﾗﾌ_13" localSheetId="12" hidden="1">#REF!</definedName>
    <definedName name="_122__123Graph_Fｸﾞﾗﾌ_13" localSheetId="13" hidden="1">#REF!</definedName>
    <definedName name="_122__123Graph_Fｸﾞﾗﾌ_13" hidden="1">#REF!</definedName>
    <definedName name="_123__123Graph_Fｸﾞﾗﾌ_14" localSheetId="2" hidden="1">#REF!</definedName>
    <definedName name="_123__123Graph_Fｸﾞﾗﾌ_14" localSheetId="7" hidden="1">#REF!</definedName>
    <definedName name="_123__123Graph_Fｸﾞﾗﾌ_14" localSheetId="5" hidden="1">#REF!</definedName>
    <definedName name="_123__123Graph_Fｸﾞﾗﾌ_14" localSheetId="6" hidden="1">#REF!</definedName>
    <definedName name="_123__123Graph_Fｸﾞﾗﾌ_14" localSheetId="11" hidden="1">#REF!</definedName>
    <definedName name="_123__123Graph_Fｸﾞﾗﾌ_14" localSheetId="12" hidden="1">#REF!</definedName>
    <definedName name="_123__123Graph_Fｸﾞﾗﾌ_14" localSheetId="13" hidden="1">#REF!</definedName>
    <definedName name="_123__123Graph_Fｸﾞﾗﾌ_14" hidden="1">#REF!</definedName>
    <definedName name="_124__123Graph_Fｸﾞﾗﾌ_2" localSheetId="2" hidden="1">#REF!</definedName>
    <definedName name="_124__123Graph_Fｸﾞﾗﾌ_2" localSheetId="7" hidden="1">#REF!</definedName>
    <definedName name="_124__123Graph_Fｸﾞﾗﾌ_2" localSheetId="5" hidden="1">#REF!</definedName>
    <definedName name="_124__123Graph_Fｸﾞﾗﾌ_2" localSheetId="6" hidden="1">#REF!</definedName>
    <definedName name="_124__123Graph_Fｸﾞﾗﾌ_2" localSheetId="11" hidden="1">#REF!</definedName>
    <definedName name="_124__123Graph_Fｸﾞﾗﾌ_2" localSheetId="12" hidden="1">#REF!</definedName>
    <definedName name="_124__123Graph_Fｸﾞﾗﾌ_2" localSheetId="13" hidden="1">#REF!</definedName>
    <definedName name="_124__123Graph_Fｸﾞﾗﾌ_2" hidden="1">#REF!</definedName>
    <definedName name="_125__123Graph_Fｸﾞﾗﾌ_3" localSheetId="2" hidden="1">#REF!</definedName>
    <definedName name="_125__123Graph_Fｸﾞﾗﾌ_3" localSheetId="7" hidden="1">#REF!</definedName>
    <definedName name="_125__123Graph_Fｸﾞﾗﾌ_3" localSheetId="5" hidden="1">#REF!</definedName>
    <definedName name="_125__123Graph_Fｸﾞﾗﾌ_3" localSheetId="6" hidden="1">#REF!</definedName>
    <definedName name="_125__123Graph_Fｸﾞﾗﾌ_3" localSheetId="11" hidden="1">#REF!</definedName>
    <definedName name="_125__123Graph_Fｸﾞﾗﾌ_3" localSheetId="12" hidden="1">#REF!</definedName>
    <definedName name="_125__123Graph_Fｸﾞﾗﾌ_3" localSheetId="13" hidden="1">#REF!</definedName>
    <definedName name="_125__123Graph_Fｸﾞﾗﾌ_3" hidden="1">#REF!</definedName>
    <definedName name="_126__123Graph_Fｸﾞﾗﾌ_4" localSheetId="2" hidden="1">#REF!</definedName>
    <definedName name="_126__123Graph_Fｸﾞﾗﾌ_4" localSheetId="7" hidden="1">#REF!</definedName>
    <definedName name="_126__123Graph_Fｸﾞﾗﾌ_4" localSheetId="5" hidden="1">#REF!</definedName>
    <definedName name="_126__123Graph_Fｸﾞﾗﾌ_4" localSheetId="6" hidden="1">#REF!</definedName>
    <definedName name="_126__123Graph_Fｸﾞﾗﾌ_4" localSheetId="11" hidden="1">#REF!</definedName>
    <definedName name="_126__123Graph_Fｸﾞﾗﾌ_4" localSheetId="12" hidden="1">#REF!</definedName>
    <definedName name="_126__123Graph_Fｸﾞﾗﾌ_4" localSheetId="13" hidden="1">#REF!</definedName>
    <definedName name="_126__123Graph_Fｸﾞﾗﾌ_4" hidden="1">#REF!</definedName>
    <definedName name="_127__123Graph_Fｸﾞﾗﾌ_5" localSheetId="2" hidden="1">#REF!</definedName>
    <definedName name="_127__123Graph_Fｸﾞﾗﾌ_5" localSheetId="7" hidden="1">#REF!</definedName>
    <definedName name="_127__123Graph_Fｸﾞﾗﾌ_5" localSheetId="5" hidden="1">#REF!</definedName>
    <definedName name="_127__123Graph_Fｸﾞﾗﾌ_5" localSheetId="6" hidden="1">#REF!</definedName>
    <definedName name="_127__123Graph_Fｸﾞﾗﾌ_5" localSheetId="11" hidden="1">#REF!</definedName>
    <definedName name="_127__123Graph_Fｸﾞﾗﾌ_5" localSheetId="12" hidden="1">#REF!</definedName>
    <definedName name="_127__123Graph_Fｸﾞﾗﾌ_5" localSheetId="13" hidden="1">#REF!</definedName>
    <definedName name="_127__123Graph_Fｸﾞﾗﾌ_5" hidden="1">#REF!</definedName>
    <definedName name="_128__123Graph_Fｸﾞﾗﾌ_9" localSheetId="2" hidden="1">#REF!</definedName>
    <definedName name="_128__123Graph_Fｸﾞﾗﾌ_9" localSheetId="7" hidden="1">#REF!</definedName>
    <definedName name="_128__123Graph_Fｸﾞﾗﾌ_9" localSheetId="5" hidden="1">#REF!</definedName>
    <definedName name="_128__123Graph_Fｸﾞﾗﾌ_9" localSheetId="6" hidden="1">#REF!</definedName>
    <definedName name="_128__123Graph_Fｸﾞﾗﾌ_9" localSheetId="11" hidden="1">#REF!</definedName>
    <definedName name="_128__123Graph_Fｸﾞﾗﾌ_9" localSheetId="12" hidden="1">#REF!</definedName>
    <definedName name="_128__123Graph_Fｸﾞﾗﾌ_9" localSheetId="13" hidden="1">#REF!</definedName>
    <definedName name="_128__123Graph_Fｸﾞﾗﾌ_9" hidden="1">#REF!</definedName>
    <definedName name="_129__123Graph_LBL_Aｸﾞﾗﾌ_7" localSheetId="2" hidden="1">#REF!</definedName>
    <definedName name="_129__123Graph_LBL_Aｸﾞﾗﾌ_7" localSheetId="7" hidden="1">#REF!</definedName>
    <definedName name="_129__123Graph_LBL_Aｸﾞﾗﾌ_7" localSheetId="5" hidden="1">#REF!</definedName>
    <definedName name="_129__123Graph_LBL_Aｸﾞﾗﾌ_7" localSheetId="6" hidden="1">#REF!</definedName>
    <definedName name="_129__123Graph_LBL_Aｸﾞﾗﾌ_7" localSheetId="11" hidden="1">#REF!</definedName>
    <definedName name="_129__123Graph_LBL_Aｸﾞﾗﾌ_7" localSheetId="12" hidden="1">#REF!</definedName>
    <definedName name="_129__123Graph_LBL_Aｸﾞﾗﾌ_7" localSheetId="13" hidden="1">#REF!</definedName>
    <definedName name="_129__123Graph_LBL_Aｸﾞﾗﾌ_7" hidden="1">#REF!</definedName>
    <definedName name="_130__123Graph_LBL_Aｸﾞﾗﾌ_8" localSheetId="2" hidden="1">#REF!</definedName>
    <definedName name="_130__123Graph_LBL_Aｸﾞﾗﾌ_8" localSheetId="7" hidden="1">#REF!</definedName>
    <definedName name="_130__123Graph_LBL_Aｸﾞﾗﾌ_8" localSheetId="5" hidden="1">#REF!</definedName>
    <definedName name="_130__123Graph_LBL_Aｸﾞﾗﾌ_8" localSheetId="6" hidden="1">#REF!</definedName>
    <definedName name="_130__123Graph_LBL_Aｸﾞﾗﾌ_8" localSheetId="11" hidden="1">#REF!</definedName>
    <definedName name="_130__123Graph_LBL_Aｸﾞﾗﾌ_8" localSheetId="12" hidden="1">#REF!</definedName>
    <definedName name="_130__123Graph_LBL_Aｸﾞﾗﾌ_8" localSheetId="13" hidden="1">#REF!</definedName>
    <definedName name="_130__123Graph_LBL_Aｸﾞﾗﾌ_8" hidden="1">#REF!</definedName>
    <definedName name="_131__123Graph_LBL_Bｸﾞﾗﾌ_7" localSheetId="2" hidden="1">#REF!</definedName>
    <definedName name="_131__123Graph_LBL_Bｸﾞﾗﾌ_7" localSheetId="7" hidden="1">#REF!</definedName>
    <definedName name="_131__123Graph_LBL_Bｸﾞﾗﾌ_7" localSheetId="5" hidden="1">#REF!</definedName>
    <definedName name="_131__123Graph_LBL_Bｸﾞﾗﾌ_7" localSheetId="6" hidden="1">#REF!</definedName>
    <definedName name="_131__123Graph_LBL_Bｸﾞﾗﾌ_7" localSheetId="11" hidden="1">#REF!</definedName>
    <definedName name="_131__123Graph_LBL_Bｸﾞﾗﾌ_7" localSheetId="12" hidden="1">#REF!</definedName>
    <definedName name="_131__123Graph_LBL_Bｸﾞﾗﾌ_7" localSheetId="13" hidden="1">#REF!</definedName>
    <definedName name="_131__123Graph_LBL_Bｸﾞﾗﾌ_7" hidden="1">#REF!</definedName>
    <definedName name="_132__123Graph_LBL_Bｸﾞﾗﾌ_8" localSheetId="2" hidden="1">#REF!</definedName>
    <definedName name="_132__123Graph_LBL_Bｸﾞﾗﾌ_8" localSheetId="7" hidden="1">#REF!</definedName>
    <definedName name="_132__123Graph_LBL_Bｸﾞﾗﾌ_8" localSheetId="5" hidden="1">#REF!</definedName>
    <definedName name="_132__123Graph_LBL_Bｸﾞﾗﾌ_8" localSheetId="6" hidden="1">#REF!</definedName>
    <definedName name="_132__123Graph_LBL_Bｸﾞﾗﾌ_8" localSheetId="11" hidden="1">#REF!</definedName>
    <definedName name="_132__123Graph_LBL_Bｸﾞﾗﾌ_8" localSheetId="12" hidden="1">#REF!</definedName>
    <definedName name="_132__123Graph_LBL_Bｸﾞﾗﾌ_8" localSheetId="13" hidden="1">#REF!</definedName>
    <definedName name="_132__123Graph_LBL_Bｸﾞﾗﾌ_8" hidden="1">#REF!</definedName>
    <definedName name="_133__123Graph_LBL_Cｸﾞﾗﾌ_3" localSheetId="2" hidden="1">#REF!</definedName>
    <definedName name="_133__123Graph_LBL_Cｸﾞﾗﾌ_3" localSheetId="7" hidden="1">#REF!</definedName>
    <definedName name="_133__123Graph_LBL_Cｸﾞﾗﾌ_3" localSheetId="5" hidden="1">#REF!</definedName>
    <definedName name="_133__123Graph_LBL_Cｸﾞﾗﾌ_3" localSheetId="6" hidden="1">#REF!</definedName>
    <definedName name="_133__123Graph_LBL_Cｸﾞﾗﾌ_3" localSheetId="11" hidden="1">#REF!</definedName>
    <definedName name="_133__123Graph_LBL_Cｸﾞﾗﾌ_3" localSheetId="12" hidden="1">#REF!</definedName>
    <definedName name="_133__123Graph_LBL_Cｸﾞﾗﾌ_3" localSheetId="13" hidden="1">#REF!</definedName>
    <definedName name="_133__123Graph_LBL_Cｸﾞﾗﾌ_3" hidden="1">#REF!</definedName>
    <definedName name="_134__123Graph_LBL_Cｸﾞﾗﾌ_7" localSheetId="2" hidden="1">#REF!</definedName>
    <definedName name="_134__123Graph_LBL_Cｸﾞﾗﾌ_7" localSheetId="7" hidden="1">#REF!</definedName>
    <definedName name="_134__123Graph_LBL_Cｸﾞﾗﾌ_7" localSheetId="5" hidden="1">#REF!</definedName>
    <definedName name="_134__123Graph_LBL_Cｸﾞﾗﾌ_7" localSheetId="6" hidden="1">#REF!</definedName>
    <definedName name="_134__123Graph_LBL_Cｸﾞﾗﾌ_7" localSheetId="11" hidden="1">#REF!</definedName>
    <definedName name="_134__123Graph_LBL_Cｸﾞﾗﾌ_7" localSheetId="12" hidden="1">#REF!</definedName>
    <definedName name="_134__123Graph_LBL_Cｸﾞﾗﾌ_7" localSheetId="13" hidden="1">#REF!</definedName>
    <definedName name="_134__123Graph_LBL_Cｸﾞﾗﾌ_7" hidden="1">#REF!</definedName>
    <definedName name="_135__123Graph_LBL_Cｸﾞﾗﾌ_8" localSheetId="2" hidden="1">#REF!</definedName>
    <definedName name="_135__123Graph_LBL_Cｸﾞﾗﾌ_8" localSheetId="7" hidden="1">#REF!</definedName>
    <definedName name="_135__123Graph_LBL_Cｸﾞﾗﾌ_8" localSheetId="5" hidden="1">#REF!</definedName>
    <definedName name="_135__123Graph_LBL_Cｸﾞﾗﾌ_8" localSheetId="6" hidden="1">#REF!</definedName>
    <definedName name="_135__123Graph_LBL_Cｸﾞﾗﾌ_8" localSheetId="11" hidden="1">#REF!</definedName>
    <definedName name="_135__123Graph_LBL_Cｸﾞﾗﾌ_8" localSheetId="12" hidden="1">#REF!</definedName>
    <definedName name="_135__123Graph_LBL_Cｸﾞﾗﾌ_8" localSheetId="13" hidden="1">#REF!</definedName>
    <definedName name="_135__123Graph_LBL_Cｸﾞﾗﾌ_8" hidden="1">#REF!</definedName>
    <definedName name="_136__123Graph_LBL_Dｸﾞﾗﾌ_3" localSheetId="2" hidden="1">#REF!</definedName>
    <definedName name="_136__123Graph_LBL_Dｸﾞﾗﾌ_3" localSheetId="7" hidden="1">#REF!</definedName>
    <definedName name="_136__123Graph_LBL_Dｸﾞﾗﾌ_3" localSheetId="5" hidden="1">#REF!</definedName>
    <definedName name="_136__123Graph_LBL_Dｸﾞﾗﾌ_3" localSheetId="6" hidden="1">#REF!</definedName>
    <definedName name="_136__123Graph_LBL_Dｸﾞﾗﾌ_3" localSheetId="11" hidden="1">#REF!</definedName>
    <definedName name="_136__123Graph_LBL_Dｸﾞﾗﾌ_3" localSheetId="12" hidden="1">#REF!</definedName>
    <definedName name="_136__123Graph_LBL_Dｸﾞﾗﾌ_3" localSheetId="13" hidden="1">#REF!</definedName>
    <definedName name="_136__123Graph_LBL_Dｸﾞﾗﾌ_3" hidden="1">#REF!</definedName>
    <definedName name="_137__123Graph_LBL_Dｸﾞﾗﾌ_7" localSheetId="2" hidden="1">#REF!</definedName>
    <definedName name="_137__123Graph_LBL_Dｸﾞﾗﾌ_7" localSheetId="7" hidden="1">#REF!</definedName>
    <definedName name="_137__123Graph_LBL_Dｸﾞﾗﾌ_7" localSheetId="5" hidden="1">#REF!</definedName>
    <definedName name="_137__123Graph_LBL_Dｸﾞﾗﾌ_7" localSheetId="6" hidden="1">#REF!</definedName>
    <definedName name="_137__123Graph_LBL_Dｸﾞﾗﾌ_7" localSheetId="11" hidden="1">#REF!</definedName>
    <definedName name="_137__123Graph_LBL_Dｸﾞﾗﾌ_7" localSheetId="12" hidden="1">#REF!</definedName>
    <definedName name="_137__123Graph_LBL_Dｸﾞﾗﾌ_7" localSheetId="13" hidden="1">#REF!</definedName>
    <definedName name="_137__123Graph_LBL_Dｸﾞﾗﾌ_7" hidden="1">#REF!</definedName>
    <definedName name="_138__123Graph_LBL_Eｸﾞﾗﾌ_3" localSheetId="2" hidden="1">#REF!</definedName>
    <definedName name="_138__123Graph_LBL_Eｸﾞﾗﾌ_3" localSheetId="7" hidden="1">#REF!</definedName>
    <definedName name="_138__123Graph_LBL_Eｸﾞﾗﾌ_3" localSheetId="5" hidden="1">#REF!</definedName>
    <definedName name="_138__123Graph_LBL_Eｸﾞﾗﾌ_3" localSheetId="6" hidden="1">#REF!</definedName>
    <definedName name="_138__123Graph_LBL_Eｸﾞﾗﾌ_3" localSheetId="11" hidden="1">#REF!</definedName>
    <definedName name="_138__123Graph_LBL_Eｸﾞﾗﾌ_3" localSheetId="12" hidden="1">#REF!</definedName>
    <definedName name="_138__123Graph_LBL_Eｸﾞﾗﾌ_3" localSheetId="13" hidden="1">#REF!</definedName>
    <definedName name="_138__123Graph_LBL_Eｸﾞﾗﾌ_3" hidden="1">#REF!</definedName>
    <definedName name="_139__123Graph_LBL_Eｸﾞﾗﾌ_7" localSheetId="2" hidden="1">#REF!</definedName>
    <definedName name="_139__123Graph_LBL_Eｸﾞﾗﾌ_7" localSheetId="7" hidden="1">#REF!</definedName>
    <definedName name="_139__123Graph_LBL_Eｸﾞﾗﾌ_7" localSheetId="5" hidden="1">#REF!</definedName>
    <definedName name="_139__123Graph_LBL_Eｸﾞﾗﾌ_7" localSheetId="6" hidden="1">#REF!</definedName>
    <definedName name="_139__123Graph_LBL_Eｸﾞﾗﾌ_7" localSheetId="11" hidden="1">#REF!</definedName>
    <definedName name="_139__123Graph_LBL_Eｸﾞﾗﾌ_7" localSheetId="12" hidden="1">#REF!</definedName>
    <definedName name="_139__123Graph_LBL_Eｸﾞﾗﾌ_7" localSheetId="13" hidden="1">#REF!</definedName>
    <definedName name="_139__123Graph_LBL_Eｸﾞﾗﾌ_7" hidden="1">#REF!</definedName>
    <definedName name="_140__123Graph_LBL_Fｸﾞﾗﾌ_3" localSheetId="2" hidden="1">#REF!</definedName>
    <definedName name="_140__123Graph_LBL_Fｸﾞﾗﾌ_3" localSheetId="7" hidden="1">#REF!</definedName>
    <definedName name="_140__123Graph_LBL_Fｸﾞﾗﾌ_3" localSheetId="5" hidden="1">#REF!</definedName>
    <definedName name="_140__123Graph_LBL_Fｸﾞﾗﾌ_3" localSheetId="6" hidden="1">#REF!</definedName>
    <definedName name="_140__123Graph_LBL_Fｸﾞﾗﾌ_3" localSheetId="11" hidden="1">#REF!</definedName>
    <definedName name="_140__123Graph_LBL_Fｸﾞﾗﾌ_3" localSheetId="12" hidden="1">#REF!</definedName>
    <definedName name="_140__123Graph_LBL_Fｸﾞﾗﾌ_3" localSheetId="13" hidden="1">#REF!</definedName>
    <definedName name="_140__123Graph_LBL_Fｸﾞﾗﾌ_3" hidden="1">#REF!</definedName>
    <definedName name="_141__123Graph_Xｸﾞﾗﾌ_1" localSheetId="2" hidden="1">#REF!</definedName>
    <definedName name="_141__123Graph_Xｸﾞﾗﾌ_1" localSheetId="7" hidden="1">#REF!</definedName>
    <definedName name="_141__123Graph_Xｸﾞﾗﾌ_1" localSheetId="5" hidden="1">#REF!</definedName>
    <definedName name="_141__123Graph_Xｸﾞﾗﾌ_1" localSheetId="6" hidden="1">#REF!</definedName>
    <definedName name="_141__123Graph_Xｸﾞﾗﾌ_1" localSheetId="11" hidden="1">#REF!</definedName>
    <definedName name="_141__123Graph_Xｸﾞﾗﾌ_1" localSheetId="12" hidden="1">#REF!</definedName>
    <definedName name="_141__123Graph_Xｸﾞﾗﾌ_1" localSheetId="13" hidden="1">#REF!</definedName>
    <definedName name="_141__123Graph_Xｸﾞﾗﾌ_1" hidden="1">#REF!</definedName>
    <definedName name="_142__123Graph_Xｸﾞﾗﾌ_12" localSheetId="2" hidden="1">#REF!</definedName>
    <definedName name="_142__123Graph_Xｸﾞﾗﾌ_12" localSheetId="7" hidden="1">#REF!</definedName>
    <definedName name="_142__123Graph_Xｸﾞﾗﾌ_12" localSheetId="5" hidden="1">#REF!</definedName>
    <definedName name="_142__123Graph_Xｸﾞﾗﾌ_12" localSheetId="6" hidden="1">#REF!</definedName>
    <definedName name="_142__123Graph_Xｸﾞﾗﾌ_12" localSheetId="11" hidden="1">#REF!</definedName>
    <definedName name="_142__123Graph_Xｸﾞﾗﾌ_12" localSheetId="12" hidden="1">#REF!</definedName>
    <definedName name="_142__123Graph_Xｸﾞﾗﾌ_12" localSheetId="13" hidden="1">#REF!</definedName>
    <definedName name="_142__123Graph_Xｸﾞﾗﾌ_12" hidden="1">#REF!</definedName>
    <definedName name="_143__123Graph_Xｸﾞﾗﾌ_13" localSheetId="2" hidden="1">#REF!</definedName>
    <definedName name="_143__123Graph_Xｸﾞﾗﾌ_13" localSheetId="7" hidden="1">#REF!</definedName>
    <definedName name="_143__123Graph_Xｸﾞﾗﾌ_13" localSheetId="5" hidden="1">#REF!</definedName>
    <definedName name="_143__123Graph_Xｸﾞﾗﾌ_13" localSheetId="6" hidden="1">#REF!</definedName>
    <definedName name="_143__123Graph_Xｸﾞﾗﾌ_13" localSheetId="11" hidden="1">#REF!</definedName>
    <definedName name="_143__123Graph_Xｸﾞﾗﾌ_13" localSheetId="12" hidden="1">#REF!</definedName>
    <definedName name="_143__123Graph_Xｸﾞﾗﾌ_13" localSheetId="13" hidden="1">#REF!</definedName>
    <definedName name="_143__123Graph_Xｸﾞﾗﾌ_13" hidden="1">#REF!</definedName>
    <definedName name="_144__123Graph_Xｸﾞﾗﾌ_14" localSheetId="2" hidden="1">#REF!</definedName>
    <definedName name="_144__123Graph_Xｸﾞﾗﾌ_14" localSheetId="7" hidden="1">#REF!</definedName>
    <definedName name="_144__123Graph_Xｸﾞﾗﾌ_14" localSheetId="5" hidden="1">#REF!</definedName>
    <definedName name="_144__123Graph_Xｸﾞﾗﾌ_14" localSheetId="6" hidden="1">#REF!</definedName>
    <definedName name="_144__123Graph_Xｸﾞﾗﾌ_14" localSheetId="11" hidden="1">#REF!</definedName>
    <definedName name="_144__123Graph_Xｸﾞﾗﾌ_14" localSheetId="12" hidden="1">#REF!</definedName>
    <definedName name="_144__123Graph_Xｸﾞﾗﾌ_14" localSheetId="13" hidden="1">#REF!</definedName>
    <definedName name="_144__123Graph_Xｸﾞﾗﾌ_14" hidden="1">#REF!</definedName>
    <definedName name="_145__123Graph_Xｸﾞﾗﾌ_2" localSheetId="2" hidden="1">#REF!</definedName>
    <definedName name="_145__123Graph_Xｸﾞﾗﾌ_2" localSheetId="7" hidden="1">#REF!</definedName>
    <definedName name="_145__123Graph_Xｸﾞﾗﾌ_2" localSheetId="5" hidden="1">#REF!</definedName>
    <definedName name="_145__123Graph_Xｸﾞﾗﾌ_2" localSheetId="6" hidden="1">#REF!</definedName>
    <definedName name="_145__123Graph_Xｸﾞﾗﾌ_2" localSheetId="11" hidden="1">#REF!</definedName>
    <definedName name="_145__123Graph_Xｸﾞﾗﾌ_2" localSheetId="12" hidden="1">#REF!</definedName>
    <definedName name="_145__123Graph_Xｸﾞﾗﾌ_2" localSheetId="13" hidden="1">#REF!</definedName>
    <definedName name="_145__123Graph_Xｸﾞﾗﾌ_2" hidden="1">#REF!</definedName>
    <definedName name="_146__123Graph_Xｸﾞﾗﾌ_3" localSheetId="2" hidden="1">#REF!</definedName>
    <definedName name="_146__123Graph_Xｸﾞﾗﾌ_3" localSheetId="7" hidden="1">#REF!</definedName>
    <definedName name="_146__123Graph_Xｸﾞﾗﾌ_3" localSheetId="5" hidden="1">#REF!</definedName>
    <definedName name="_146__123Graph_Xｸﾞﾗﾌ_3" localSheetId="6" hidden="1">#REF!</definedName>
    <definedName name="_146__123Graph_Xｸﾞﾗﾌ_3" localSheetId="11" hidden="1">#REF!</definedName>
    <definedName name="_146__123Graph_Xｸﾞﾗﾌ_3" localSheetId="12" hidden="1">#REF!</definedName>
    <definedName name="_146__123Graph_Xｸﾞﾗﾌ_3" localSheetId="13" hidden="1">#REF!</definedName>
    <definedName name="_146__123Graph_Xｸﾞﾗﾌ_3" hidden="1">#REF!</definedName>
    <definedName name="_149__123Graph_Xｸﾞﾗﾌ_8" localSheetId="2" hidden="1">#REF!</definedName>
    <definedName name="_149__123Graph_Xｸﾞﾗﾌ_8" localSheetId="7" hidden="1">#REF!</definedName>
    <definedName name="_149__123Graph_Xｸﾞﾗﾌ_8" localSheetId="5" hidden="1">#REF!</definedName>
    <definedName name="_149__123Graph_Xｸﾞﾗﾌ_8" localSheetId="6" hidden="1">#REF!</definedName>
    <definedName name="_149__123Graph_Xｸﾞﾗﾌ_8" localSheetId="11" hidden="1">#REF!</definedName>
    <definedName name="_149__123Graph_Xｸﾞﾗﾌ_8" localSheetId="12" hidden="1">#REF!</definedName>
    <definedName name="_149__123Graph_Xｸﾞﾗﾌ_8" localSheetId="13" hidden="1">#REF!</definedName>
    <definedName name="_149__123Graph_Xｸﾞﾗﾌ_8" hidden="1">#REF!</definedName>
    <definedName name="_150__123Graph_Xｸﾞﾗﾌ_9" localSheetId="2" hidden="1">#REF!</definedName>
    <definedName name="_150__123Graph_Xｸﾞﾗﾌ_9" localSheetId="7" hidden="1">#REF!</definedName>
    <definedName name="_150__123Graph_Xｸﾞﾗﾌ_9" localSheetId="5" hidden="1">#REF!</definedName>
    <definedName name="_150__123Graph_Xｸﾞﾗﾌ_9" localSheetId="6" hidden="1">#REF!</definedName>
    <definedName name="_150__123Graph_Xｸﾞﾗﾌ_9" localSheetId="11" hidden="1">#REF!</definedName>
    <definedName name="_150__123Graph_Xｸﾞﾗﾌ_9" localSheetId="12" hidden="1">#REF!</definedName>
    <definedName name="_150__123Graph_Xｸﾞﾗﾌ_9" localSheetId="13" hidden="1">#REF!</definedName>
    <definedName name="_150__123Graph_Xｸﾞﾗﾌ_9" hidden="1">#REF!</definedName>
    <definedName name="_51__123Graph_Aｸﾞﾗﾌ_1" localSheetId="2" hidden="1">#REF!</definedName>
    <definedName name="_51__123Graph_Aｸﾞﾗﾌ_1" localSheetId="7" hidden="1">#REF!</definedName>
    <definedName name="_51__123Graph_Aｸﾞﾗﾌ_1" localSheetId="5" hidden="1">#REF!</definedName>
    <definedName name="_51__123Graph_Aｸﾞﾗﾌ_1" localSheetId="6" hidden="1">#REF!</definedName>
    <definedName name="_51__123Graph_Aｸﾞﾗﾌ_1" localSheetId="11" hidden="1">#REF!</definedName>
    <definedName name="_51__123Graph_Aｸﾞﾗﾌ_1" localSheetId="12" hidden="1">#REF!</definedName>
    <definedName name="_51__123Graph_Aｸﾞﾗﾌ_1" localSheetId="13" hidden="1">#REF!</definedName>
    <definedName name="_51__123Graph_Aｸﾞﾗﾌ_1" hidden="1">#REF!</definedName>
    <definedName name="_52__123Graph_Aｸﾞﾗﾌ_10" localSheetId="2" hidden="1">#REF!</definedName>
    <definedName name="_52__123Graph_Aｸﾞﾗﾌ_10" localSheetId="7" hidden="1">#REF!</definedName>
    <definedName name="_52__123Graph_Aｸﾞﾗﾌ_10" localSheetId="5" hidden="1">#REF!</definedName>
    <definedName name="_52__123Graph_Aｸﾞﾗﾌ_10" localSheetId="6" hidden="1">#REF!</definedName>
    <definedName name="_52__123Graph_Aｸﾞﾗﾌ_10" localSheetId="11" hidden="1">#REF!</definedName>
    <definedName name="_52__123Graph_Aｸﾞﾗﾌ_10" localSheetId="12" hidden="1">#REF!</definedName>
    <definedName name="_52__123Graph_Aｸﾞﾗﾌ_10" localSheetId="13" hidden="1">#REF!</definedName>
    <definedName name="_52__123Graph_Aｸﾞﾗﾌ_10" hidden="1">#REF!</definedName>
    <definedName name="_53__123Graph_Aｸﾞﾗﾌ_11" localSheetId="2" hidden="1">#REF!</definedName>
    <definedName name="_53__123Graph_Aｸﾞﾗﾌ_11" localSheetId="7" hidden="1">#REF!</definedName>
    <definedName name="_53__123Graph_Aｸﾞﾗﾌ_11" localSheetId="5" hidden="1">#REF!</definedName>
    <definedName name="_53__123Graph_Aｸﾞﾗﾌ_11" localSheetId="6" hidden="1">#REF!</definedName>
    <definedName name="_53__123Graph_Aｸﾞﾗﾌ_11" localSheetId="11" hidden="1">#REF!</definedName>
    <definedName name="_53__123Graph_Aｸﾞﾗﾌ_11" localSheetId="12" hidden="1">#REF!</definedName>
    <definedName name="_53__123Graph_Aｸﾞﾗﾌ_11" localSheetId="13" hidden="1">#REF!</definedName>
    <definedName name="_53__123Graph_Aｸﾞﾗﾌ_11" hidden="1">#REF!</definedName>
    <definedName name="_54__123Graph_Aｸﾞﾗﾌ_12" localSheetId="2" hidden="1">#REF!</definedName>
    <definedName name="_54__123Graph_Aｸﾞﾗﾌ_12" localSheetId="7" hidden="1">#REF!</definedName>
    <definedName name="_54__123Graph_Aｸﾞﾗﾌ_12" localSheetId="5" hidden="1">#REF!</definedName>
    <definedName name="_54__123Graph_Aｸﾞﾗﾌ_12" localSheetId="6" hidden="1">#REF!</definedName>
    <definedName name="_54__123Graph_Aｸﾞﾗﾌ_12" localSheetId="11" hidden="1">#REF!</definedName>
    <definedName name="_54__123Graph_Aｸﾞﾗﾌ_12" localSheetId="12" hidden="1">#REF!</definedName>
    <definedName name="_54__123Graph_Aｸﾞﾗﾌ_12" localSheetId="13" hidden="1">#REF!</definedName>
    <definedName name="_54__123Graph_Aｸﾞﾗﾌ_12" hidden="1">#REF!</definedName>
    <definedName name="_55__123Graph_Aｸﾞﾗﾌ_13" localSheetId="2" hidden="1">#REF!</definedName>
    <definedName name="_55__123Graph_Aｸﾞﾗﾌ_13" localSheetId="7" hidden="1">#REF!</definedName>
    <definedName name="_55__123Graph_Aｸﾞﾗﾌ_13" localSheetId="5" hidden="1">#REF!</definedName>
    <definedName name="_55__123Graph_Aｸﾞﾗﾌ_13" localSheetId="6" hidden="1">#REF!</definedName>
    <definedName name="_55__123Graph_Aｸﾞﾗﾌ_13" localSheetId="11" hidden="1">#REF!</definedName>
    <definedName name="_55__123Graph_Aｸﾞﾗﾌ_13" localSheetId="12" hidden="1">#REF!</definedName>
    <definedName name="_55__123Graph_Aｸﾞﾗﾌ_13" localSheetId="13" hidden="1">#REF!</definedName>
    <definedName name="_55__123Graph_Aｸﾞﾗﾌ_13" hidden="1">#REF!</definedName>
    <definedName name="_56__123Graph_Aｸﾞﾗﾌ_14" localSheetId="2" hidden="1">#REF!</definedName>
    <definedName name="_56__123Graph_Aｸﾞﾗﾌ_14" localSheetId="7" hidden="1">#REF!</definedName>
    <definedName name="_56__123Graph_Aｸﾞﾗﾌ_14" localSheetId="5" hidden="1">#REF!</definedName>
    <definedName name="_56__123Graph_Aｸﾞﾗﾌ_14" localSheetId="6" hidden="1">#REF!</definedName>
    <definedName name="_56__123Graph_Aｸﾞﾗﾌ_14" localSheetId="11" hidden="1">#REF!</definedName>
    <definedName name="_56__123Graph_Aｸﾞﾗﾌ_14" localSheetId="12" hidden="1">#REF!</definedName>
    <definedName name="_56__123Graph_Aｸﾞﾗﾌ_14" localSheetId="13" hidden="1">#REF!</definedName>
    <definedName name="_56__123Graph_Aｸﾞﾗﾌ_14" hidden="1">#REF!</definedName>
    <definedName name="_57__123Graph_Aｸﾞﾗﾌ_2" localSheetId="2" hidden="1">#REF!</definedName>
    <definedName name="_57__123Graph_Aｸﾞﾗﾌ_2" localSheetId="7" hidden="1">#REF!</definedName>
    <definedName name="_57__123Graph_Aｸﾞﾗﾌ_2" localSheetId="5" hidden="1">#REF!</definedName>
    <definedName name="_57__123Graph_Aｸﾞﾗﾌ_2" localSheetId="6" hidden="1">#REF!</definedName>
    <definedName name="_57__123Graph_Aｸﾞﾗﾌ_2" localSheetId="11" hidden="1">#REF!</definedName>
    <definedName name="_57__123Graph_Aｸﾞﾗﾌ_2" localSheetId="12" hidden="1">#REF!</definedName>
    <definedName name="_57__123Graph_Aｸﾞﾗﾌ_2" localSheetId="13" hidden="1">#REF!</definedName>
    <definedName name="_57__123Graph_Aｸﾞﾗﾌ_2" hidden="1">#REF!</definedName>
    <definedName name="_58__123Graph_Aｸﾞﾗﾌ_3" localSheetId="2" hidden="1">#REF!</definedName>
    <definedName name="_58__123Graph_Aｸﾞﾗﾌ_3" localSheetId="7" hidden="1">#REF!</definedName>
    <definedName name="_58__123Graph_Aｸﾞﾗﾌ_3" localSheetId="5" hidden="1">#REF!</definedName>
    <definedName name="_58__123Graph_Aｸﾞﾗﾌ_3" localSheetId="6" hidden="1">#REF!</definedName>
    <definedName name="_58__123Graph_Aｸﾞﾗﾌ_3" localSheetId="11" hidden="1">#REF!</definedName>
    <definedName name="_58__123Graph_Aｸﾞﾗﾌ_3" localSheetId="12" hidden="1">#REF!</definedName>
    <definedName name="_58__123Graph_Aｸﾞﾗﾌ_3" localSheetId="13" hidden="1">#REF!</definedName>
    <definedName name="_58__123Graph_Aｸﾞﾗﾌ_3" hidden="1">#REF!</definedName>
    <definedName name="_59__123Graph_Aｸﾞﾗﾌ_4" localSheetId="2" hidden="1">#REF!</definedName>
    <definedName name="_59__123Graph_Aｸﾞﾗﾌ_4" localSheetId="7" hidden="1">#REF!</definedName>
    <definedName name="_59__123Graph_Aｸﾞﾗﾌ_4" localSheetId="5" hidden="1">#REF!</definedName>
    <definedName name="_59__123Graph_Aｸﾞﾗﾌ_4" localSheetId="6" hidden="1">#REF!</definedName>
    <definedName name="_59__123Graph_Aｸﾞﾗﾌ_4" localSheetId="11" hidden="1">#REF!</definedName>
    <definedName name="_59__123Graph_Aｸﾞﾗﾌ_4" localSheetId="12" hidden="1">#REF!</definedName>
    <definedName name="_59__123Graph_Aｸﾞﾗﾌ_4" localSheetId="13" hidden="1">#REF!</definedName>
    <definedName name="_59__123Graph_Aｸﾞﾗﾌ_4" hidden="1">#REF!</definedName>
    <definedName name="_60__123Graph_Aｸﾞﾗﾌ_5" localSheetId="2" hidden="1">#REF!</definedName>
    <definedName name="_60__123Graph_Aｸﾞﾗﾌ_5" localSheetId="7" hidden="1">#REF!</definedName>
    <definedName name="_60__123Graph_Aｸﾞﾗﾌ_5" localSheetId="5" hidden="1">#REF!</definedName>
    <definedName name="_60__123Graph_Aｸﾞﾗﾌ_5" localSheetId="6" hidden="1">#REF!</definedName>
    <definedName name="_60__123Graph_Aｸﾞﾗﾌ_5" localSheetId="11" hidden="1">#REF!</definedName>
    <definedName name="_60__123Graph_Aｸﾞﾗﾌ_5" localSheetId="12" hidden="1">#REF!</definedName>
    <definedName name="_60__123Graph_Aｸﾞﾗﾌ_5" localSheetId="13" hidden="1">#REF!</definedName>
    <definedName name="_60__123Graph_Aｸﾞﾗﾌ_5" hidden="1">#REF!</definedName>
    <definedName name="_61__123Graph_Aｸﾞﾗﾌ_6" localSheetId="2" hidden="1">#REF!</definedName>
    <definedName name="_61__123Graph_Aｸﾞﾗﾌ_6" localSheetId="7" hidden="1">#REF!</definedName>
    <definedName name="_61__123Graph_Aｸﾞﾗﾌ_6" localSheetId="5" hidden="1">#REF!</definedName>
    <definedName name="_61__123Graph_Aｸﾞﾗﾌ_6" localSheetId="6" hidden="1">#REF!</definedName>
    <definedName name="_61__123Graph_Aｸﾞﾗﾌ_6" localSheetId="11" hidden="1">#REF!</definedName>
    <definedName name="_61__123Graph_Aｸﾞﾗﾌ_6" localSheetId="12" hidden="1">#REF!</definedName>
    <definedName name="_61__123Graph_Aｸﾞﾗﾌ_6" localSheetId="13" hidden="1">#REF!</definedName>
    <definedName name="_61__123Graph_Aｸﾞﾗﾌ_6" hidden="1">#REF!</definedName>
    <definedName name="_62__123Graph_Aｸﾞﾗﾌ_7" localSheetId="2" hidden="1">#REF!</definedName>
    <definedName name="_62__123Graph_Aｸﾞﾗﾌ_7" localSheetId="7" hidden="1">#REF!</definedName>
    <definedName name="_62__123Graph_Aｸﾞﾗﾌ_7" localSheetId="5" hidden="1">#REF!</definedName>
    <definedName name="_62__123Graph_Aｸﾞﾗﾌ_7" localSheetId="6" hidden="1">#REF!</definedName>
    <definedName name="_62__123Graph_Aｸﾞﾗﾌ_7" localSheetId="11" hidden="1">#REF!</definedName>
    <definedName name="_62__123Graph_Aｸﾞﾗﾌ_7" localSheetId="12" hidden="1">#REF!</definedName>
    <definedName name="_62__123Graph_Aｸﾞﾗﾌ_7" localSheetId="13" hidden="1">#REF!</definedName>
    <definedName name="_62__123Graph_Aｸﾞﾗﾌ_7" hidden="1">#REF!</definedName>
    <definedName name="_63__123Graph_Aｸﾞﾗﾌ_8" localSheetId="2" hidden="1">#REF!</definedName>
    <definedName name="_63__123Graph_Aｸﾞﾗﾌ_8" localSheetId="7" hidden="1">#REF!</definedName>
    <definedName name="_63__123Graph_Aｸﾞﾗﾌ_8" localSheetId="5" hidden="1">#REF!</definedName>
    <definedName name="_63__123Graph_Aｸﾞﾗﾌ_8" localSheetId="6" hidden="1">#REF!</definedName>
    <definedName name="_63__123Graph_Aｸﾞﾗﾌ_8" localSheetId="11" hidden="1">#REF!</definedName>
    <definedName name="_63__123Graph_Aｸﾞﾗﾌ_8" localSheetId="12" hidden="1">#REF!</definedName>
    <definedName name="_63__123Graph_Aｸﾞﾗﾌ_8" localSheetId="13" hidden="1">#REF!</definedName>
    <definedName name="_63__123Graph_Aｸﾞﾗﾌ_8" hidden="1">#REF!</definedName>
    <definedName name="_64__123Graph_Aｸﾞﾗﾌ_9" localSheetId="2" hidden="1">#REF!</definedName>
    <definedName name="_64__123Graph_Aｸﾞﾗﾌ_9" localSheetId="7" hidden="1">#REF!</definedName>
    <definedName name="_64__123Graph_Aｸﾞﾗﾌ_9" localSheetId="5" hidden="1">#REF!</definedName>
    <definedName name="_64__123Graph_Aｸﾞﾗﾌ_9" localSheetId="6" hidden="1">#REF!</definedName>
    <definedName name="_64__123Graph_Aｸﾞﾗﾌ_9" localSheetId="11" hidden="1">#REF!</definedName>
    <definedName name="_64__123Graph_Aｸﾞﾗﾌ_9" localSheetId="12" hidden="1">#REF!</definedName>
    <definedName name="_64__123Graph_Aｸﾞﾗﾌ_9" localSheetId="13" hidden="1">#REF!</definedName>
    <definedName name="_64__123Graph_Aｸﾞﾗﾌ_9" hidden="1">#REF!</definedName>
    <definedName name="_65__123Graph_Bｸﾞﾗﾌ_1" localSheetId="2" hidden="1">#REF!</definedName>
    <definedName name="_65__123Graph_Bｸﾞﾗﾌ_1" localSheetId="7" hidden="1">#REF!</definedName>
    <definedName name="_65__123Graph_Bｸﾞﾗﾌ_1" localSheetId="5" hidden="1">#REF!</definedName>
    <definedName name="_65__123Graph_Bｸﾞﾗﾌ_1" localSheetId="6" hidden="1">#REF!</definedName>
    <definedName name="_65__123Graph_Bｸﾞﾗﾌ_1" localSheetId="11" hidden="1">#REF!</definedName>
    <definedName name="_65__123Graph_Bｸﾞﾗﾌ_1" localSheetId="12" hidden="1">#REF!</definedName>
    <definedName name="_65__123Graph_Bｸﾞﾗﾌ_1" localSheetId="13" hidden="1">#REF!</definedName>
    <definedName name="_65__123Graph_Bｸﾞﾗﾌ_1" hidden="1">#REF!</definedName>
    <definedName name="_66__123Graph_Bｸﾞﾗﾌ_10" localSheetId="2" hidden="1">#REF!</definedName>
    <definedName name="_66__123Graph_Bｸﾞﾗﾌ_10" localSheetId="7" hidden="1">#REF!</definedName>
    <definedName name="_66__123Graph_Bｸﾞﾗﾌ_10" localSheetId="5" hidden="1">#REF!</definedName>
    <definedName name="_66__123Graph_Bｸﾞﾗﾌ_10" localSheetId="6" hidden="1">#REF!</definedName>
    <definedName name="_66__123Graph_Bｸﾞﾗﾌ_10" localSheetId="11" hidden="1">#REF!</definedName>
    <definedName name="_66__123Graph_Bｸﾞﾗﾌ_10" localSheetId="12" hidden="1">#REF!</definedName>
    <definedName name="_66__123Graph_Bｸﾞﾗﾌ_10" localSheetId="13" hidden="1">#REF!</definedName>
    <definedName name="_66__123Graph_Bｸﾞﾗﾌ_10" hidden="1">#REF!</definedName>
    <definedName name="_67__123Graph_Bｸﾞﾗﾌ_11" localSheetId="2" hidden="1">#REF!</definedName>
    <definedName name="_67__123Graph_Bｸﾞﾗﾌ_11" localSheetId="7" hidden="1">#REF!</definedName>
    <definedName name="_67__123Graph_Bｸﾞﾗﾌ_11" localSheetId="5" hidden="1">#REF!</definedName>
    <definedName name="_67__123Graph_Bｸﾞﾗﾌ_11" localSheetId="6" hidden="1">#REF!</definedName>
    <definedName name="_67__123Graph_Bｸﾞﾗﾌ_11" localSheetId="11" hidden="1">#REF!</definedName>
    <definedName name="_67__123Graph_Bｸﾞﾗﾌ_11" localSheetId="12" hidden="1">#REF!</definedName>
    <definedName name="_67__123Graph_Bｸﾞﾗﾌ_11" localSheetId="13" hidden="1">#REF!</definedName>
    <definedName name="_67__123Graph_Bｸﾞﾗﾌ_11" hidden="1">#REF!</definedName>
    <definedName name="_68__123Graph_Bｸﾞﾗﾌ_12" localSheetId="2" hidden="1">#REF!</definedName>
    <definedName name="_68__123Graph_Bｸﾞﾗﾌ_12" localSheetId="7" hidden="1">#REF!</definedName>
    <definedName name="_68__123Graph_Bｸﾞﾗﾌ_12" localSheetId="5" hidden="1">#REF!</definedName>
    <definedName name="_68__123Graph_Bｸﾞﾗﾌ_12" localSheetId="6" hidden="1">#REF!</definedName>
    <definedName name="_68__123Graph_Bｸﾞﾗﾌ_12" localSheetId="11" hidden="1">#REF!</definedName>
    <definedName name="_68__123Graph_Bｸﾞﾗﾌ_12" localSheetId="12" hidden="1">#REF!</definedName>
    <definedName name="_68__123Graph_Bｸﾞﾗﾌ_12" localSheetId="13" hidden="1">#REF!</definedName>
    <definedName name="_68__123Graph_Bｸﾞﾗﾌ_12" hidden="1">#REF!</definedName>
    <definedName name="_69__123Graph_Bｸﾞﾗﾌ_13" localSheetId="2" hidden="1">#REF!</definedName>
    <definedName name="_69__123Graph_Bｸﾞﾗﾌ_13" localSheetId="7" hidden="1">#REF!</definedName>
    <definedName name="_69__123Graph_Bｸﾞﾗﾌ_13" localSheetId="5" hidden="1">#REF!</definedName>
    <definedName name="_69__123Graph_Bｸﾞﾗﾌ_13" localSheetId="6" hidden="1">#REF!</definedName>
    <definedName name="_69__123Graph_Bｸﾞﾗﾌ_13" localSheetId="11" hidden="1">#REF!</definedName>
    <definedName name="_69__123Graph_Bｸﾞﾗﾌ_13" localSheetId="12" hidden="1">#REF!</definedName>
    <definedName name="_69__123Graph_Bｸﾞﾗﾌ_13" localSheetId="13" hidden="1">#REF!</definedName>
    <definedName name="_69__123Graph_Bｸﾞﾗﾌ_13" hidden="1">#REF!</definedName>
    <definedName name="_70__123Graph_Bｸﾞﾗﾌ_14" localSheetId="2" hidden="1">#REF!</definedName>
    <definedName name="_70__123Graph_Bｸﾞﾗﾌ_14" localSheetId="7" hidden="1">#REF!</definedName>
    <definedName name="_70__123Graph_Bｸﾞﾗﾌ_14" localSheetId="5" hidden="1">#REF!</definedName>
    <definedName name="_70__123Graph_Bｸﾞﾗﾌ_14" localSheetId="6" hidden="1">#REF!</definedName>
    <definedName name="_70__123Graph_Bｸﾞﾗﾌ_14" localSheetId="11" hidden="1">#REF!</definedName>
    <definedName name="_70__123Graph_Bｸﾞﾗﾌ_14" localSheetId="12" hidden="1">#REF!</definedName>
    <definedName name="_70__123Graph_Bｸﾞﾗﾌ_14" localSheetId="13" hidden="1">#REF!</definedName>
    <definedName name="_70__123Graph_Bｸﾞﾗﾌ_14" hidden="1">#REF!</definedName>
    <definedName name="_71__123Graph_Bｸﾞﾗﾌ_2" localSheetId="2" hidden="1">#REF!</definedName>
    <definedName name="_71__123Graph_Bｸﾞﾗﾌ_2" localSheetId="7" hidden="1">#REF!</definedName>
    <definedName name="_71__123Graph_Bｸﾞﾗﾌ_2" localSheetId="5" hidden="1">#REF!</definedName>
    <definedName name="_71__123Graph_Bｸﾞﾗﾌ_2" localSheetId="6" hidden="1">#REF!</definedName>
    <definedName name="_71__123Graph_Bｸﾞﾗﾌ_2" localSheetId="11" hidden="1">#REF!</definedName>
    <definedName name="_71__123Graph_Bｸﾞﾗﾌ_2" localSheetId="12" hidden="1">#REF!</definedName>
    <definedName name="_71__123Graph_Bｸﾞﾗﾌ_2" localSheetId="13" hidden="1">#REF!</definedName>
    <definedName name="_71__123Graph_Bｸﾞﾗﾌ_2" hidden="1">#REF!</definedName>
    <definedName name="_72__123Graph_Bｸﾞﾗﾌ_3" localSheetId="2" hidden="1">#REF!</definedName>
    <definedName name="_72__123Graph_Bｸﾞﾗﾌ_3" localSheetId="7" hidden="1">#REF!</definedName>
    <definedName name="_72__123Graph_Bｸﾞﾗﾌ_3" localSheetId="5" hidden="1">#REF!</definedName>
    <definedName name="_72__123Graph_Bｸﾞﾗﾌ_3" localSheetId="6" hidden="1">#REF!</definedName>
    <definedName name="_72__123Graph_Bｸﾞﾗﾌ_3" localSheetId="11" hidden="1">#REF!</definedName>
    <definedName name="_72__123Graph_Bｸﾞﾗﾌ_3" localSheetId="12" hidden="1">#REF!</definedName>
    <definedName name="_72__123Graph_Bｸﾞﾗﾌ_3" localSheetId="13" hidden="1">#REF!</definedName>
    <definedName name="_72__123Graph_Bｸﾞﾗﾌ_3" hidden="1">#REF!</definedName>
    <definedName name="_73__123Graph_Bｸﾞﾗﾌ_4" localSheetId="2" hidden="1">#REF!</definedName>
    <definedName name="_73__123Graph_Bｸﾞﾗﾌ_4" localSheetId="7" hidden="1">#REF!</definedName>
    <definedName name="_73__123Graph_Bｸﾞﾗﾌ_4" localSheetId="5" hidden="1">#REF!</definedName>
    <definedName name="_73__123Graph_Bｸﾞﾗﾌ_4" localSheetId="6" hidden="1">#REF!</definedName>
    <definedName name="_73__123Graph_Bｸﾞﾗﾌ_4" localSheetId="11" hidden="1">#REF!</definedName>
    <definedName name="_73__123Graph_Bｸﾞﾗﾌ_4" localSheetId="12" hidden="1">#REF!</definedName>
    <definedName name="_73__123Graph_Bｸﾞﾗﾌ_4" localSheetId="13" hidden="1">#REF!</definedName>
    <definedName name="_73__123Graph_Bｸﾞﾗﾌ_4" hidden="1">#REF!</definedName>
    <definedName name="_74__123Graph_Bｸﾞﾗﾌ_5" localSheetId="2" hidden="1">#REF!</definedName>
    <definedName name="_74__123Graph_Bｸﾞﾗﾌ_5" localSheetId="7" hidden="1">#REF!</definedName>
    <definedName name="_74__123Graph_Bｸﾞﾗﾌ_5" localSheetId="5" hidden="1">#REF!</definedName>
    <definedName name="_74__123Graph_Bｸﾞﾗﾌ_5" localSheetId="6" hidden="1">#REF!</definedName>
    <definedName name="_74__123Graph_Bｸﾞﾗﾌ_5" localSheetId="11" hidden="1">#REF!</definedName>
    <definedName name="_74__123Graph_Bｸﾞﾗﾌ_5" localSheetId="12" hidden="1">#REF!</definedName>
    <definedName name="_74__123Graph_Bｸﾞﾗﾌ_5" localSheetId="13" hidden="1">#REF!</definedName>
    <definedName name="_74__123Graph_Bｸﾞﾗﾌ_5" hidden="1">#REF!</definedName>
    <definedName name="_75__123Graph_Bｸﾞﾗﾌ_6" localSheetId="2" hidden="1">#REF!</definedName>
    <definedName name="_75__123Graph_Bｸﾞﾗﾌ_6" localSheetId="7" hidden="1">#REF!</definedName>
    <definedName name="_75__123Graph_Bｸﾞﾗﾌ_6" localSheetId="5" hidden="1">#REF!</definedName>
    <definedName name="_75__123Graph_Bｸﾞﾗﾌ_6" localSheetId="6" hidden="1">#REF!</definedName>
    <definedName name="_75__123Graph_Bｸﾞﾗﾌ_6" localSheetId="11" hidden="1">#REF!</definedName>
    <definedName name="_75__123Graph_Bｸﾞﾗﾌ_6" localSheetId="12" hidden="1">#REF!</definedName>
    <definedName name="_75__123Graph_Bｸﾞﾗﾌ_6" localSheetId="13" hidden="1">#REF!</definedName>
    <definedName name="_75__123Graph_Bｸﾞﾗﾌ_6" hidden="1">#REF!</definedName>
    <definedName name="_76__123Graph_Bｸﾞﾗﾌ_7" localSheetId="2" hidden="1">#REF!</definedName>
    <definedName name="_76__123Graph_Bｸﾞﾗﾌ_7" localSheetId="7" hidden="1">#REF!</definedName>
    <definedName name="_76__123Graph_Bｸﾞﾗﾌ_7" localSheetId="5" hidden="1">#REF!</definedName>
    <definedName name="_76__123Graph_Bｸﾞﾗﾌ_7" localSheetId="6" hidden="1">#REF!</definedName>
    <definedName name="_76__123Graph_Bｸﾞﾗﾌ_7" localSheetId="11" hidden="1">#REF!</definedName>
    <definedName name="_76__123Graph_Bｸﾞﾗﾌ_7" localSheetId="12" hidden="1">#REF!</definedName>
    <definedName name="_76__123Graph_Bｸﾞﾗﾌ_7" localSheetId="13" hidden="1">#REF!</definedName>
    <definedName name="_76__123Graph_Bｸﾞﾗﾌ_7" hidden="1">#REF!</definedName>
    <definedName name="_77__123Graph_Bｸﾞﾗﾌ_8" localSheetId="2" hidden="1">#REF!</definedName>
    <definedName name="_77__123Graph_Bｸﾞﾗﾌ_8" localSheetId="7" hidden="1">#REF!</definedName>
    <definedName name="_77__123Graph_Bｸﾞﾗﾌ_8" localSheetId="5" hidden="1">#REF!</definedName>
    <definedName name="_77__123Graph_Bｸﾞﾗﾌ_8" localSheetId="6" hidden="1">#REF!</definedName>
    <definedName name="_77__123Graph_Bｸﾞﾗﾌ_8" localSheetId="11" hidden="1">#REF!</definedName>
    <definedName name="_77__123Graph_Bｸﾞﾗﾌ_8" localSheetId="12" hidden="1">#REF!</definedName>
    <definedName name="_77__123Graph_Bｸﾞﾗﾌ_8" localSheetId="13" hidden="1">#REF!</definedName>
    <definedName name="_77__123Graph_Bｸﾞﾗﾌ_8" hidden="1">#REF!</definedName>
    <definedName name="_78__123Graph_Bｸﾞﾗﾌ_9" localSheetId="2" hidden="1">#REF!</definedName>
    <definedName name="_78__123Graph_Bｸﾞﾗﾌ_9" localSheetId="7" hidden="1">#REF!</definedName>
    <definedName name="_78__123Graph_Bｸﾞﾗﾌ_9" localSheetId="5" hidden="1">#REF!</definedName>
    <definedName name="_78__123Graph_Bｸﾞﾗﾌ_9" localSheetId="6" hidden="1">#REF!</definedName>
    <definedName name="_78__123Graph_Bｸﾞﾗﾌ_9" localSheetId="11" hidden="1">#REF!</definedName>
    <definedName name="_78__123Graph_Bｸﾞﾗﾌ_9" localSheetId="12" hidden="1">#REF!</definedName>
    <definedName name="_78__123Graph_Bｸﾞﾗﾌ_9" localSheetId="13" hidden="1">#REF!</definedName>
    <definedName name="_78__123Graph_Bｸﾞﾗﾌ_9" hidden="1">#REF!</definedName>
    <definedName name="_79__123Graph_Cｸﾞﾗﾌ_1" localSheetId="2" hidden="1">#REF!</definedName>
    <definedName name="_79__123Graph_Cｸﾞﾗﾌ_1" localSheetId="7" hidden="1">#REF!</definedName>
    <definedName name="_79__123Graph_Cｸﾞﾗﾌ_1" localSheetId="5" hidden="1">#REF!</definedName>
    <definedName name="_79__123Graph_Cｸﾞﾗﾌ_1" localSheetId="6" hidden="1">#REF!</definedName>
    <definedName name="_79__123Graph_Cｸﾞﾗﾌ_1" localSheetId="11" hidden="1">#REF!</definedName>
    <definedName name="_79__123Graph_Cｸﾞﾗﾌ_1" localSheetId="12" hidden="1">#REF!</definedName>
    <definedName name="_79__123Graph_Cｸﾞﾗﾌ_1" localSheetId="13" hidden="1">#REF!</definedName>
    <definedName name="_79__123Graph_Cｸﾞﾗﾌ_1" hidden="1">#REF!</definedName>
    <definedName name="_80__123Graph_Cｸﾞﾗﾌ_10" localSheetId="2" hidden="1">#REF!</definedName>
    <definedName name="_80__123Graph_Cｸﾞﾗﾌ_10" localSheetId="7" hidden="1">#REF!</definedName>
    <definedName name="_80__123Graph_Cｸﾞﾗﾌ_10" localSheetId="5" hidden="1">#REF!</definedName>
    <definedName name="_80__123Graph_Cｸﾞﾗﾌ_10" localSheetId="6" hidden="1">#REF!</definedName>
    <definedName name="_80__123Graph_Cｸﾞﾗﾌ_10" localSheetId="11" hidden="1">#REF!</definedName>
    <definedName name="_80__123Graph_Cｸﾞﾗﾌ_10" localSheetId="12" hidden="1">#REF!</definedName>
    <definedName name="_80__123Graph_Cｸﾞﾗﾌ_10" localSheetId="13" hidden="1">#REF!</definedName>
    <definedName name="_80__123Graph_Cｸﾞﾗﾌ_10" hidden="1">#REF!</definedName>
    <definedName name="_81__123Graph_Cｸﾞﾗﾌ_11" localSheetId="2" hidden="1">#REF!</definedName>
    <definedName name="_81__123Graph_Cｸﾞﾗﾌ_11" localSheetId="7" hidden="1">#REF!</definedName>
    <definedName name="_81__123Graph_Cｸﾞﾗﾌ_11" localSheetId="5" hidden="1">#REF!</definedName>
    <definedName name="_81__123Graph_Cｸﾞﾗﾌ_11" localSheetId="6" hidden="1">#REF!</definedName>
    <definedName name="_81__123Graph_Cｸﾞﾗﾌ_11" localSheetId="11" hidden="1">#REF!</definedName>
    <definedName name="_81__123Graph_Cｸﾞﾗﾌ_11" localSheetId="12" hidden="1">#REF!</definedName>
    <definedName name="_81__123Graph_Cｸﾞﾗﾌ_11" localSheetId="13" hidden="1">#REF!</definedName>
    <definedName name="_81__123Graph_Cｸﾞﾗﾌ_11" hidden="1">#REF!</definedName>
    <definedName name="_82__123Graph_Cｸﾞﾗﾌ_12" localSheetId="2" hidden="1">#REF!</definedName>
    <definedName name="_82__123Graph_Cｸﾞﾗﾌ_12" localSheetId="7" hidden="1">#REF!</definedName>
    <definedName name="_82__123Graph_Cｸﾞﾗﾌ_12" localSheetId="5" hidden="1">#REF!</definedName>
    <definedName name="_82__123Graph_Cｸﾞﾗﾌ_12" localSheetId="6" hidden="1">#REF!</definedName>
    <definedName name="_82__123Graph_Cｸﾞﾗﾌ_12" localSheetId="11" hidden="1">#REF!</definedName>
    <definedName name="_82__123Graph_Cｸﾞﾗﾌ_12" localSheetId="12" hidden="1">#REF!</definedName>
    <definedName name="_82__123Graph_Cｸﾞﾗﾌ_12" localSheetId="13" hidden="1">#REF!</definedName>
    <definedName name="_82__123Graph_Cｸﾞﾗﾌ_12" hidden="1">#REF!</definedName>
    <definedName name="_83__123Graph_Cｸﾞﾗﾌ_13" localSheetId="2" hidden="1">#REF!</definedName>
    <definedName name="_83__123Graph_Cｸﾞﾗﾌ_13" localSheetId="7" hidden="1">#REF!</definedName>
    <definedName name="_83__123Graph_Cｸﾞﾗﾌ_13" localSheetId="5" hidden="1">#REF!</definedName>
    <definedName name="_83__123Graph_Cｸﾞﾗﾌ_13" localSheetId="6" hidden="1">#REF!</definedName>
    <definedName name="_83__123Graph_Cｸﾞﾗﾌ_13" localSheetId="11" hidden="1">#REF!</definedName>
    <definedName name="_83__123Graph_Cｸﾞﾗﾌ_13" localSheetId="12" hidden="1">#REF!</definedName>
    <definedName name="_83__123Graph_Cｸﾞﾗﾌ_13" localSheetId="13" hidden="1">#REF!</definedName>
    <definedName name="_83__123Graph_Cｸﾞﾗﾌ_13" hidden="1">#REF!</definedName>
    <definedName name="_84__123Graph_Cｸﾞﾗﾌ_14" localSheetId="2" hidden="1">#REF!</definedName>
    <definedName name="_84__123Graph_Cｸﾞﾗﾌ_14" localSheetId="7" hidden="1">#REF!</definedName>
    <definedName name="_84__123Graph_Cｸﾞﾗﾌ_14" localSheetId="5" hidden="1">#REF!</definedName>
    <definedName name="_84__123Graph_Cｸﾞﾗﾌ_14" localSheetId="6" hidden="1">#REF!</definedName>
    <definedName name="_84__123Graph_Cｸﾞﾗﾌ_14" localSheetId="11" hidden="1">#REF!</definedName>
    <definedName name="_84__123Graph_Cｸﾞﾗﾌ_14" localSheetId="12" hidden="1">#REF!</definedName>
    <definedName name="_84__123Graph_Cｸﾞﾗﾌ_14" localSheetId="13" hidden="1">#REF!</definedName>
    <definedName name="_84__123Graph_Cｸﾞﾗﾌ_14" hidden="1">#REF!</definedName>
    <definedName name="_85__123Graph_Cｸﾞﾗﾌ_2" localSheetId="2" hidden="1">#REF!</definedName>
    <definedName name="_85__123Graph_Cｸﾞﾗﾌ_2" localSheetId="7" hidden="1">#REF!</definedName>
    <definedName name="_85__123Graph_Cｸﾞﾗﾌ_2" localSheetId="5" hidden="1">#REF!</definedName>
    <definedName name="_85__123Graph_Cｸﾞﾗﾌ_2" localSheetId="6" hidden="1">#REF!</definedName>
    <definedName name="_85__123Graph_Cｸﾞﾗﾌ_2" localSheetId="11" hidden="1">#REF!</definedName>
    <definedName name="_85__123Graph_Cｸﾞﾗﾌ_2" localSheetId="12" hidden="1">#REF!</definedName>
    <definedName name="_85__123Graph_Cｸﾞﾗﾌ_2" localSheetId="13" hidden="1">#REF!</definedName>
    <definedName name="_85__123Graph_Cｸﾞﾗﾌ_2" hidden="1">#REF!</definedName>
    <definedName name="_86__123Graph_Cｸﾞﾗﾌ_3" localSheetId="2" hidden="1">#REF!</definedName>
    <definedName name="_86__123Graph_Cｸﾞﾗﾌ_3" localSheetId="7" hidden="1">#REF!</definedName>
    <definedName name="_86__123Graph_Cｸﾞﾗﾌ_3" localSheetId="5" hidden="1">#REF!</definedName>
    <definedName name="_86__123Graph_Cｸﾞﾗﾌ_3" localSheetId="6" hidden="1">#REF!</definedName>
    <definedName name="_86__123Graph_Cｸﾞﾗﾌ_3" localSheetId="11" hidden="1">#REF!</definedName>
    <definedName name="_86__123Graph_Cｸﾞﾗﾌ_3" localSheetId="12" hidden="1">#REF!</definedName>
    <definedName name="_86__123Graph_Cｸﾞﾗﾌ_3" localSheetId="13" hidden="1">#REF!</definedName>
    <definedName name="_86__123Graph_Cｸﾞﾗﾌ_3" hidden="1">#REF!</definedName>
    <definedName name="_87__123Graph_Cｸﾞﾗﾌ_4" localSheetId="2" hidden="1">#REF!</definedName>
    <definedName name="_87__123Graph_Cｸﾞﾗﾌ_4" localSheetId="7" hidden="1">#REF!</definedName>
    <definedName name="_87__123Graph_Cｸﾞﾗﾌ_4" localSheetId="5" hidden="1">#REF!</definedName>
    <definedName name="_87__123Graph_Cｸﾞﾗﾌ_4" localSheetId="6" hidden="1">#REF!</definedName>
    <definedName name="_87__123Graph_Cｸﾞﾗﾌ_4" localSheetId="11" hidden="1">#REF!</definedName>
    <definedName name="_87__123Graph_Cｸﾞﾗﾌ_4" localSheetId="12" hidden="1">#REF!</definedName>
    <definedName name="_87__123Graph_Cｸﾞﾗﾌ_4" localSheetId="13" hidden="1">#REF!</definedName>
    <definedName name="_87__123Graph_Cｸﾞﾗﾌ_4" hidden="1">#REF!</definedName>
    <definedName name="_88__123Graph_Cｸﾞﾗﾌ_5" localSheetId="2" hidden="1">#REF!</definedName>
    <definedName name="_88__123Graph_Cｸﾞﾗﾌ_5" localSheetId="7" hidden="1">#REF!</definedName>
    <definedName name="_88__123Graph_Cｸﾞﾗﾌ_5" localSheetId="5" hidden="1">#REF!</definedName>
    <definedName name="_88__123Graph_Cｸﾞﾗﾌ_5" localSheetId="6" hidden="1">#REF!</definedName>
    <definedName name="_88__123Graph_Cｸﾞﾗﾌ_5" localSheetId="11" hidden="1">#REF!</definedName>
    <definedName name="_88__123Graph_Cｸﾞﾗﾌ_5" localSheetId="12" hidden="1">#REF!</definedName>
    <definedName name="_88__123Graph_Cｸﾞﾗﾌ_5" localSheetId="13" hidden="1">#REF!</definedName>
    <definedName name="_88__123Graph_Cｸﾞﾗﾌ_5" hidden="1">#REF!</definedName>
    <definedName name="_89__123Graph_Cｸﾞﾗﾌ_6" localSheetId="2" hidden="1">#REF!</definedName>
    <definedName name="_89__123Graph_Cｸﾞﾗﾌ_6" localSheetId="7" hidden="1">#REF!</definedName>
    <definedName name="_89__123Graph_Cｸﾞﾗﾌ_6" localSheetId="5" hidden="1">#REF!</definedName>
    <definedName name="_89__123Graph_Cｸﾞﾗﾌ_6" localSheetId="6" hidden="1">#REF!</definedName>
    <definedName name="_89__123Graph_Cｸﾞﾗﾌ_6" localSheetId="11" hidden="1">#REF!</definedName>
    <definedName name="_89__123Graph_Cｸﾞﾗﾌ_6" localSheetId="12" hidden="1">#REF!</definedName>
    <definedName name="_89__123Graph_Cｸﾞﾗﾌ_6" localSheetId="13" hidden="1">#REF!</definedName>
    <definedName name="_89__123Graph_Cｸﾞﾗﾌ_6" hidden="1">#REF!</definedName>
    <definedName name="_90__123Graph_Cｸﾞﾗﾌ_7" localSheetId="2" hidden="1">#REF!</definedName>
    <definedName name="_90__123Graph_Cｸﾞﾗﾌ_7" localSheetId="7" hidden="1">#REF!</definedName>
    <definedName name="_90__123Graph_Cｸﾞﾗﾌ_7" localSheetId="5" hidden="1">#REF!</definedName>
    <definedName name="_90__123Graph_Cｸﾞﾗﾌ_7" localSheetId="6" hidden="1">#REF!</definedName>
    <definedName name="_90__123Graph_Cｸﾞﾗﾌ_7" localSheetId="11" hidden="1">#REF!</definedName>
    <definedName name="_90__123Graph_Cｸﾞﾗﾌ_7" localSheetId="12" hidden="1">#REF!</definedName>
    <definedName name="_90__123Graph_Cｸﾞﾗﾌ_7" localSheetId="13" hidden="1">#REF!</definedName>
    <definedName name="_90__123Graph_Cｸﾞﾗﾌ_7" hidden="1">#REF!</definedName>
    <definedName name="_91__123Graph_Cｸﾞﾗﾌ_8" localSheetId="2" hidden="1">#REF!</definedName>
    <definedName name="_91__123Graph_Cｸﾞﾗﾌ_8" localSheetId="7" hidden="1">#REF!</definedName>
    <definedName name="_91__123Graph_Cｸﾞﾗﾌ_8" localSheetId="5" hidden="1">#REF!</definedName>
    <definedName name="_91__123Graph_Cｸﾞﾗﾌ_8" localSheetId="6" hidden="1">#REF!</definedName>
    <definedName name="_91__123Graph_Cｸﾞﾗﾌ_8" localSheetId="11" hidden="1">#REF!</definedName>
    <definedName name="_91__123Graph_Cｸﾞﾗﾌ_8" localSheetId="12" hidden="1">#REF!</definedName>
    <definedName name="_91__123Graph_Cｸﾞﾗﾌ_8" localSheetId="13" hidden="1">#REF!</definedName>
    <definedName name="_91__123Graph_Cｸﾞﾗﾌ_8" hidden="1">#REF!</definedName>
    <definedName name="_92__123Graph_Cｸﾞﾗﾌ_9" localSheetId="2" hidden="1">#REF!</definedName>
    <definedName name="_92__123Graph_Cｸﾞﾗﾌ_9" localSheetId="7" hidden="1">#REF!</definedName>
    <definedName name="_92__123Graph_Cｸﾞﾗﾌ_9" localSheetId="5" hidden="1">#REF!</definedName>
    <definedName name="_92__123Graph_Cｸﾞﾗﾌ_9" localSheetId="6" hidden="1">#REF!</definedName>
    <definedName name="_92__123Graph_Cｸﾞﾗﾌ_9" localSheetId="11" hidden="1">#REF!</definedName>
    <definedName name="_92__123Graph_Cｸﾞﾗﾌ_9" localSheetId="12" hidden="1">#REF!</definedName>
    <definedName name="_92__123Graph_Cｸﾞﾗﾌ_9" localSheetId="13" hidden="1">#REF!</definedName>
    <definedName name="_92__123Graph_Cｸﾞﾗﾌ_9" hidden="1">#REF!</definedName>
    <definedName name="_93__123Graph_Dｸﾞﾗﾌ_1" localSheetId="2" hidden="1">#REF!</definedName>
    <definedName name="_93__123Graph_Dｸﾞﾗﾌ_1" localSheetId="7" hidden="1">#REF!</definedName>
    <definedName name="_93__123Graph_Dｸﾞﾗﾌ_1" localSheetId="5" hidden="1">#REF!</definedName>
    <definedName name="_93__123Graph_Dｸﾞﾗﾌ_1" localSheetId="6" hidden="1">#REF!</definedName>
    <definedName name="_93__123Graph_Dｸﾞﾗﾌ_1" localSheetId="11" hidden="1">#REF!</definedName>
    <definedName name="_93__123Graph_Dｸﾞﾗﾌ_1" localSheetId="12" hidden="1">#REF!</definedName>
    <definedName name="_93__123Graph_Dｸﾞﾗﾌ_1" localSheetId="13" hidden="1">#REF!</definedName>
    <definedName name="_93__123Graph_Dｸﾞﾗﾌ_1" hidden="1">#REF!</definedName>
    <definedName name="_94__123Graph_Dｸﾞﾗﾌ_10" localSheetId="2" hidden="1">#REF!</definedName>
    <definedName name="_94__123Graph_Dｸﾞﾗﾌ_10" localSheetId="7" hidden="1">#REF!</definedName>
    <definedName name="_94__123Graph_Dｸﾞﾗﾌ_10" localSheetId="5" hidden="1">#REF!</definedName>
    <definedName name="_94__123Graph_Dｸﾞﾗﾌ_10" localSheetId="6" hidden="1">#REF!</definedName>
    <definedName name="_94__123Graph_Dｸﾞﾗﾌ_10" localSheetId="11" hidden="1">#REF!</definedName>
    <definedName name="_94__123Graph_Dｸﾞﾗﾌ_10" localSheetId="12" hidden="1">#REF!</definedName>
    <definedName name="_94__123Graph_Dｸﾞﾗﾌ_10" localSheetId="13" hidden="1">#REF!</definedName>
    <definedName name="_94__123Graph_Dｸﾞﾗﾌ_10" hidden="1">#REF!</definedName>
    <definedName name="_95__123Graph_Dｸﾞﾗﾌ_11" localSheetId="2" hidden="1">#REF!</definedName>
    <definedName name="_95__123Graph_Dｸﾞﾗﾌ_11" localSheetId="7" hidden="1">#REF!</definedName>
    <definedName name="_95__123Graph_Dｸﾞﾗﾌ_11" localSheetId="5" hidden="1">#REF!</definedName>
    <definedName name="_95__123Graph_Dｸﾞﾗﾌ_11" localSheetId="6" hidden="1">#REF!</definedName>
    <definedName name="_95__123Graph_Dｸﾞﾗﾌ_11" localSheetId="11" hidden="1">#REF!</definedName>
    <definedName name="_95__123Graph_Dｸﾞﾗﾌ_11" localSheetId="12" hidden="1">#REF!</definedName>
    <definedName name="_95__123Graph_Dｸﾞﾗﾌ_11" localSheetId="13" hidden="1">#REF!</definedName>
    <definedName name="_95__123Graph_Dｸﾞﾗﾌ_11" hidden="1">#REF!</definedName>
    <definedName name="_96__123Graph_Dｸﾞﾗﾌ_12" localSheetId="2" hidden="1">#REF!</definedName>
    <definedName name="_96__123Graph_Dｸﾞﾗﾌ_12" localSheetId="7" hidden="1">#REF!</definedName>
    <definedName name="_96__123Graph_Dｸﾞﾗﾌ_12" localSheetId="5" hidden="1">#REF!</definedName>
    <definedName name="_96__123Graph_Dｸﾞﾗﾌ_12" localSheetId="6" hidden="1">#REF!</definedName>
    <definedName name="_96__123Graph_Dｸﾞﾗﾌ_12" localSheetId="11" hidden="1">#REF!</definedName>
    <definedName name="_96__123Graph_Dｸﾞﾗﾌ_12" localSheetId="12" hidden="1">#REF!</definedName>
    <definedName name="_96__123Graph_Dｸﾞﾗﾌ_12" localSheetId="13" hidden="1">#REF!</definedName>
    <definedName name="_96__123Graph_Dｸﾞﾗﾌ_12" hidden="1">#REF!</definedName>
    <definedName name="_97__123Graph_Dｸﾞﾗﾌ_13" localSheetId="2" hidden="1">#REF!</definedName>
    <definedName name="_97__123Graph_Dｸﾞﾗﾌ_13" localSheetId="7" hidden="1">#REF!</definedName>
    <definedName name="_97__123Graph_Dｸﾞﾗﾌ_13" localSheetId="5" hidden="1">#REF!</definedName>
    <definedName name="_97__123Graph_Dｸﾞﾗﾌ_13" localSheetId="6" hidden="1">#REF!</definedName>
    <definedName name="_97__123Graph_Dｸﾞﾗﾌ_13" localSheetId="11" hidden="1">#REF!</definedName>
    <definedName name="_97__123Graph_Dｸﾞﾗﾌ_13" localSheetId="12" hidden="1">#REF!</definedName>
    <definedName name="_97__123Graph_Dｸﾞﾗﾌ_13" localSheetId="13" hidden="1">#REF!</definedName>
    <definedName name="_97__123Graph_Dｸﾞﾗﾌ_13" hidden="1">#REF!</definedName>
    <definedName name="_98__123Graph_Dｸﾞﾗﾌ_14" localSheetId="2" hidden="1">#REF!</definedName>
    <definedName name="_98__123Graph_Dｸﾞﾗﾌ_14" localSheetId="7" hidden="1">#REF!</definedName>
    <definedName name="_98__123Graph_Dｸﾞﾗﾌ_14" localSheetId="5" hidden="1">#REF!</definedName>
    <definedName name="_98__123Graph_Dｸﾞﾗﾌ_14" localSheetId="6" hidden="1">#REF!</definedName>
    <definedName name="_98__123Graph_Dｸﾞﾗﾌ_14" localSheetId="11" hidden="1">#REF!</definedName>
    <definedName name="_98__123Graph_Dｸﾞﾗﾌ_14" localSheetId="12" hidden="1">#REF!</definedName>
    <definedName name="_98__123Graph_Dｸﾞﾗﾌ_14" localSheetId="13" hidden="1">#REF!</definedName>
    <definedName name="_98__123Graph_Dｸﾞﾗﾌ_14" hidden="1">#REF!</definedName>
    <definedName name="_99__123Graph_Dｸﾞﾗﾌ_2" localSheetId="2" hidden="1">#REF!</definedName>
    <definedName name="_99__123Graph_Dｸﾞﾗﾌ_2" localSheetId="7" hidden="1">#REF!</definedName>
    <definedName name="_99__123Graph_Dｸﾞﾗﾌ_2" localSheetId="5" hidden="1">#REF!</definedName>
    <definedName name="_99__123Graph_Dｸﾞﾗﾌ_2" localSheetId="6" hidden="1">#REF!</definedName>
    <definedName name="_99__123Graph_Dｸﾞﾗﾌ_2" localSheetId="11" hidden="1">#REF!</definedName>
    <definedName name="_99__123Graph_Dｸﾞﾗﾌ_2" localSheetId="12" hidden="1">#REF!</definedName>
    <definedName name="_99__123Graph_Dｸﾞﾗﾌ_2" localSheetId="13" hidden="1">#REF!</definedName>
    <definedName name="_99__123Graph_Dｸﾞﾗﾌ_2" hidden="1">#REF!</definedName>
    <definedName name="_Fill" localSheetId="2" hidden="1">#REF!</definedName>
    <definedName name="_Fill" localSheetId="7" hidden="1">#REF!</definedName>
    <definedName name="_Fill" localSheetId="5" hidden="1">#REF!</definedName>
    <definedName name="_Fill" localSheetId="6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hidden="1">#REF!</definedName>
    <definedName name="_Fill2" localSheetId="2" hidden="1">#REF!</definedName>
    <definedName name="_Fill2" localSheetId="7" hidden="1">#REF!</definedName>
    <definedName name="_Fill2" localSheetId="5" hidden="1">#REF!</definedName>
    <definedName name="_Fill2" localSheetId="6" hidden="1">#REF!</definedName>
    <definedName name="_Fill2" localSheetId="11" hidden="1">#REF!</definedName>
    <definedName name="_Fill2" localSheetId="12" hidden="1">#REF!</definedName>
    <definedName name="_Fill2" localSheetId="13" hidden="1">#REF!</definedName>
    <definedName name="_Fill2" hidden="1">#REF!</definedName>
    <definedName name="_Key1" localSheetId="2" hidden="1">#REF!</definedName>
    <definedName name="_Key1" localSheetId="7" hidden="1">#REF!</definedName>
    <definedName name="_Key1" localSheetId="5" hidden="1">#REF!</definedName>
    <definedName name="_Key1" localSheetId="6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hidden="1">#REF!</definedName>
    <definedName name="_Key2" localSheetId="2" hidden="1">#REF!</definedName>
    <definedName name="_Key2" localSheetId="7" hidden="1">#REF!</definedName>
    <definedName name="_Key2" localSheetId="5" hidden="1">#REF!</definedName>
    <definedName name="_Key2" localSheetId="6" hidden="1">#REF!</definedName>
    <definedName name="_Key2" localSheetId="11" hidden="1">#REF!</definedName>
    <definedName name="_Key2" localSheetId="12" hidden="1">#REF!</definedName>
    <definedName name="_Key2" localSheetId="13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Regression_Out" localSheetId="2" hidden="1">#REF!</definedName>
    <definedName name="_Regression_Out" localSheetId="7" hidden="1">#REF!</definedName>
    <definedName name="_Regression_Out" localSheetId="5" hidden="1">#REF!</definedName>
    <definedName name="_Regression_Out" localSheetId="6" hidden="1">#REF!</definedName>
    <definedName name="_Regression_Out" localSheetId="11" hidden="1">#REF!</definedName>
    <definedName name="_Regression_Out" localSheetId="12" hidden="1">#REF!</definedName>
    <definedName name="_Regression_Out" localSheetId="13" hidden="1">#REF!</definedName>
    <definedName name="_Regression_Out" hidden="1">#REF!</definedName>
    <definedName name="_Regression_X" localSheetId="2" hidden="1">#REF!</definedName>
    <definedName name="_Regression_X" localSheetId="7" hidden="1">#REF!</definedName>
    <definedName name="_Regression_X" localSheetId="5" hidden="1">#REF!</definedName>
    <definedName name="_Regression_X" localSheetId="6" hidden="1">#REF!</definedName>
    <definedName name="_Regression_X" localSheetId="11" hidden="1">#REF!</definedName>
    <definedName name="_Regression_X" localSheetId="12" hidden="1">#REF!</definedName>
    <definedName name="_Regression_X" localSheetId="13" hidden="1">#REF!</definedName>
    <definedName name="_Regression_X" hidden="1">#REF!</definedName>
    <definedName name="_Regression_Y" localSheetId="2" hidden="1">#REF!</definedName>
    <definedName name="_Regression_Y" localSheetId="7" hidden="1">#REF!</definedName>
    <definedName name="_Regression_Y" localSheetId="5" hidden="1">#REF!</definedName>
    <definedName name="_Regression_Y" localSheetId="6" hidden="1">#REF!</definedName>
    <definedName name="_Regression_Y" localSheetId="11" hidden="1">#REF!</definedName>
    <definedName name="_Regression_Y" localSheetId="12" hidden="1">#REF!</definedName>
    <definedName name="_Regression_Y" localSheetId="13" hidden="1">#REF!</definedName>
    <definedName name="_Regression_Y" hidden="1">#REF!</definedName>
    <definedName name="_Sort" localSheetId="2" hidden="1">#REF!</definedName>
    <definedName name="_Sort" localSheetId="7" hidden="1">#REF!</definedName>
    <definedName name="_Sort" localSheetId="5" hidden="1">#REF!</definedName>
    <definedName name="_Sort" localSheetId="6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hidden="1">#REF!</definedName>
    <definedName name="⑤2" hidden="1">{"'TOYOTA'!$A$1:$R$26"}</definedName>
    <definedName name="Access_Button" hidden="1">"X777ﾏｲﾙ_Sheet1_List"</definedName>
    <definedName name="AccessDatabase" hidden="1">"C:\My Documents\X777ﾏｲﾙ.mdb"</definedName>
    <definedName name="are" localSheetId="2" hidden="1">'[2]ocean voyage'!#REF!</definedName>
    <definedName name="are" localSheetId="7" hidden="1">'[2]ocean voyage'!#REF!</definedName>
    <definedName name="are" localSheetId="5" hidden="1">'[2]ocean voyage'!#REF!</definedName>
    <definedName name="are" localSheetId="6" hidden="1">'[2]ocean voyage'!#REF!</definedName>
    <definedName name="are" localSheetId="11" hidden="1">'[2]ocean voyage'!#REF!</definedName>
    <definedName name="are" localSheetId="12" hidden="1">'[2]ocean voyage'!#REF!</definedName>
    <definedName name="are" localSheetId="13" hidden="1">'[2]ocean voyage'!#REF!</definedName>
    <definedName name="are" hidden="1">'[2]ocean voyage'!#REF!</definedName>
    <definedName name="baru" localSheetId="2" hidden="1">#REF!</definedName>
    <definedName name="baru" localSheetId="7" hidden="1">#REF!</definedName>
    <definedName name="baru" localSheetId="5" hidden="1">#REF!</definedName>
    <definedName name="baru" localSheetId="6" hidden="1">#REF!</definedName>
    <definedName name="baru" localSheetId="11" hidden="1">#REF!</definedName>
    <definedName name="baru" localSheetId="12" hidden="1">#REF!</definedName>
    <definedName name="baru" localSheetId="13" hidden="1">#REF!</definedName>
    <definedName name="baru" hidden="1">#REF!</definedName>
    <definedName name="ｂｂｂ" hidden="1">{"年販売台数計画",#N/A,FALSE,"販売台数計画";"月販売台数計画",#N/A,FALSE,"販売台数計画"}</definedName>
    <definedName name="erty" hidden="1">{"年販売台数計画",#N/A,FALSE,"販売台数計画";"月販売台数計画",#N/A,FALSE,"販売台数計画"}</definedName>
    <definedName name="ewq" hidden="1">{#N/A,"プレ技3/24見直し",FALSE,"内製専用設投";#N/A,"プレ技3/24見直し",FALSE,"内製汎用設投";#N/A,#N/A,FALSE,"ドアトリムコスト検証"}</definedName>
    <definedName name="hh" hidden="1">{"年販売台数計画",#N/A,FALSE,"販売台数計画";"月販売台数計画",#N/A,FALSE,"販売台数計画"}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4" hidden="1">TRUE</definedName>
    <definedName name="HTML_OS" hidden="1">0</definedName>
    <definedName name="HTML_PathFile" hidden="1">"C:\My Documents\toyota1.html"</definedName>
    <definedName name="HTML_Title" hidden="1">"重心高DB"</definedName>
    <definedName name="kh" hidden="1">{"年販売台数計画",#N/A,FALSE,"販売台数計画";"月販売台数計画",#N/A,FALSE,"販売台数計画"}</definedName>
    <definedName name="kkkkkkkkk" hidden="1">{"年販売台数計画",#N/A,FALSE,"販売台数計画";"月販売台数計画",#N/A,FALSE,"販売台数計画"}</definedName>
    <definedName name="limcount" hidden="1">1</definedName>
    <definedName name="ＬＬ" hidden="1">{"年販売台数計画",#N/A,FALSE,"販売台数計画";"月販売台数計画",#N/A,FALSE,"販売台数計画"}</definedName>
    <definedName name="ＬＭ簡易台数" hidden="1">{"年販売台数計画",#N/A,FALSE,"販売台数計画";"月販売台数計画",#N/A,FALSE,"販売台数計画"}</definedName>
    <definedName name="lou" hidden="1">{"the池台数表",#N/A,TRUE,"負荷見通し(the池)";"the池グラフ",#N/A,TRUE,"負荷見通し(the池)";"the滋台数表",#N/A,TRUE,"負荷見通し(the滋)";"the滋グラフ",#N/A,TRUE,"負荷見通し(the滋)"}</definedName>
    <definedName name="mbnnm" hidden="1">{"年販売台数計画",#N/A,FALSE,"販売台数計画";"月販売台数計画",#N/A,FALSE,"販売台数計画"}</definedName>
    <definedName name="mmmmmm" hidden="1">{"年販売台数計画",#N/A,FALSE,"販売台数計画";"月販売台数計画",#N/A,FALSE,"販売台数計画"}</definedName>
    <definedName name="MPC派生前出" hidden="1">{"年販売台数計画",#N/A,FALSE,"販売台数計画";"月販売台数計画",#N/A,FALSE,"販売台数計画"}</definedName>
    <definedName name="PaintingFInal2" localSheetId="2" hidden="1">#REF!</definedName>
    <definedName name="PaintingFInal2" localSheetId="7" hidden="1">#REF!</definedName>
    <definedName name="PaintingFInal2" localSheetId="5" hidden="1">#REF!</definedName>
    <definedName name="PaintingFInal2" localSheetId="6" hidden="1">#REF!</definedName>
    <definedName name="PaintingFInal2" localSheetId="11" hidden="1">#REF!</definedName>
    <definedName name="PaintingFInal2" localSheetId="12" hidden="1">#REF!</definedName>
    <definedName name="PaintingFInal2" localSheetId="13" hidden="1">#REF!</definedName>
    <definedName name="PaintingFInal2" hidden="1">#REF!</definedName>
    <definedName name="PantingFInal" hidden="1">#N/A</definedName>
    <definedName name="pica" localSheetId="2" hidden="1">'[2]ocean voyage'!#REF!</definedName>
    <definedName name="pica" localSheetId="7" hidden="1">'[2]ocean voyage'!#REF!</definedName>
    <definedName name="pica" localSheetId="5" hidden="1">'[2]ocean voyage'!#REF!</definedName>
    <definedName name="pica" localSheetId="6" hidden="1">'[2]ocean voyage'!#REF!</definedName>
    <definedName name="pica" localSheetId="11" hidden="1">'[2]ocean voyage'!#REF!</definedName>
    <definedName name="pica" localSheetId="12" hidden="1">'[2]ocean voyage'!#REF!</definedName>
    <definedName name="pica" localSheetId="13" hidden="1">'[2]ocean voyage'!#REF!</definedName>
    <definedName name="pica" hidden="1">'[2]ocean voyage'!#REF!</definedName>
    <definedName name="ｐｐ" hidden="1">{"'TOYOTA'!$A$1:$R$26"}</definedName>
    <definedName name="qazxcv" hidden="1">{"年販売台数計画",#N/A,FALSE,"販売台数計画";"月販売台数計画",#N/A,FALSE,"販売台数計画"}</definedName>
    <definedName name="qqq" hidden="1">{"'TOYOTA'!$A$1:$R$26"}</definedName>
    <definedName name="ｑｗ" hidden="1">{"年販売台数計画",#N/A,FALSE,"販売台数計画";"月販売台数計画",#N/A,FALSE,"販売台数計画"}</definedName>
    <definedName name="QWE" hidden="1">{"年販売台数計画",#N/A,FALSE,"販売台数計画";"月販売台数計画",#N/A,FALSE,"販売台数計画"}</definedName>
    <definedName name="ｒｔｙ" hidden="1">{"年販売台数計画",#N/A,FALSE,"販売台数計画";"月販売台数計画",#N/A,FALSE,"販売台数計画"}</definedName>
    <definedName name="ｒちゅい" hidden="1">{"年販売台数計画",#N/A,FALSE,"販売台数計画";"月販売台数計画",#N/A,FALSE,"販売台数計画"}</definedName>
    <definedName name="sample" hidden="1">{"'TOYOTA'!$A$1:$R$26"}</definedName>
    <definedName name="sddsddds" hidden="1">{"年販売台数計画",#N/A,FALSE,"販売台数計画";"月販売台数計画",#N/A,FALSE,"販売台数計画"}</definedName>
    <definedName name="sencount" hidden="1">1</definedName>
    <definedName name="ser" localSheetId="2" hidden="1">'[3]ocean voyage'!#REF!</definedName>
    <definedName name="ser" localSheetId="7" hidden="1">'[3]ocean voyage'!#REF!</definedName>
    <definedName name="ser" localSheetId="5" hidden="1">'[3]ocean voyage'!#REF!</definedName>
    <definedName name="ser" localSheetId="6" hidden="1">'[3]ocean voyage'!#REF!</definedName>
    <definedName name="ser" localSheetId="11" hidden="1">'[3]ocean voyage'!#REF!</definedName>
    <definedName name="ser" localSheetId="12" hidden="1">'[3]ocean voyage'!#REF!</definedName>
    <definedName name="ser" localSheetId="13" hidden="1">'[3]ocean voyage'!#REF!</definedName>
    <definedName name="ser" hidden="1">'[3]ocean voyage'!#REF!</definedName>
    <definedName name="ｔｒｓ0" hidden="1">{"年販売台数計画",#N/A,FALSE,"販売台数計画";"月販売台数計画",#N/A,FALSE,"販売台数計画"}</definedName>
    <definedName name="tyu" hidden="1">{"年販売台数計画",#N/A,FALSE,"販売台数計画";"月販売台数計画",#N/A,FALSE,"販売台数計画"}</definedName>
    <definedName name="ujm" hidden="1">{"the池台数表",#N/A,TRUE,"負荷見通し(the池)";"the池グラフ",#N/A,TRUE,"負荷見通し(the池)";"the滋台数表",#N/A,TRUE,"負荷見通し(the滋)";"the滋グラフ",#N/A,TRUE,"負荷見通し(the滋)"}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ｗ１" hidden="1">{"'TOYOTA'!$A$1:$R$26"}</definedName>
    <definedName name="wc" hidden="1">{"年販売台数計画",#N/A,FALSE,"販売台数計画";"月販売台数計画",#N/A,FALSE,"販売台数計画"}</definedName>
    <definedName name="wef" hidden="1">{"the池台数表",#N/A,TRUE,"負荷見通し(the池)";"the池グラフ",#N/A,TRUE,"負荷見通し(the池)";"the滋台数表",#N/A,TRUE,"負荷見通し(the滋)";"the滋グラフ",#N/A,TRUE,"負荷見通し(the滋)"}</definedName>
    <definedName name="wer" hidden="1">{"年販売台数計画",#N/A,FALSE,"販売台数計画";"月販売台数計画",#N/A,FALSE,"販売台数計画"}</definedName>
    <definedName name="wert" hidden="1">{"年販売台数計画",#N/A,FALSE,"販売台数計画";"月販売台数計画",#N/A,FALSE,"販売台数計画"}</definedName>
    <definedName name="ＷＱＳ3" hidden="1">{"年販売台数計画",#N/A,FALSE,"販売台数計画";"月販売台数計画",#N/A,FALSE,"販売台数計画"}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意匠." hidden="1">{#N/A,#N/A,FALSE,"890T最終(２１Ｄ案） ";#N/A,#N/A,FALSE,"890T最終(ｷｬﾙﾃｰ案）  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ｗｒｔ" hidden="1">{"年販売台数計画",#N/A,FALSE,"販売台数計画";"月販売台数計画",#N/A,FALSE,"販売台数計画"}</definedName>
    <definedName name="wwqwqw" hidden="1">{"年販売台数計画",#N/A,FALSE,"販売台数計画";"月販売台数計画",#N/A,FALSE,"販売台数計画"}</definedName>
    <definedName name="ｗくぇｒｆ" hidden="1">{"年販売台数計画",#N/A,FALSE,"販売台数計画";"月販売台数計画",#N/A,FALSE,"販売台数計画"}</definedName>
    <definedName name="ＺＸＣＶＢ" hidden="1">{"年販売台数計画",#N/A,FALSE,"販売台数計画";"月販売台数計画",#N/A,FALSE,"販売台数計画"}</definedName>
    <definedName name="ＺＸＤＲ" hidden="1">{"年販売台数計画",#N/A,FALSE,"販売台数計画";"月販売台数計画",#N/A,FALSE,"販売台数計画"}</definedName>
    <definedName name="あＳＤ" hidden="1">{"年販売台数計画",#N/A,FALSE,"販売台数計画";"月販売台数計画",#N/A,FALSE,"販売台数計画"}</definedName>
    <definedName name="あＳＤＦ" hidden="1">{"年販売台数計画",#N/A,FALSE,"販売台数計画";"月販売台数計画",#N/A,FALSE,"販売台数計画"}</definedName>
    <definedName name="あああ" hidden="1">{"年販売台数計画",#N/A,FALSE,"販売台数計画";"月販売台数計画",#N/A,FALSE,"販売台数計画"}</definedName>
    <definedName name="ああああ" hidden="1">{"the池台数表",#N/A,TRUE,"負荷見通し(the池)";"the池グラフ",#N/A,TRUE,"負荷見通し(the池)";"the滋台数表",#N/A,TRUE,"負荷見通し(the滋)";"the滋グラフ",#N/A,TRUE,"負荷見通し(the滋)"}</definedName>
    <definedName name="あいうえお" hidden="1">{"年販売台数計画",#N/A,FALSE,"販売台数計画";"月販売台数計画",#N/A,FALSE,"販売台数計画"}</definedName>
    <definedName name="いいい" hidden="1">{"年販売台数計画",#N/A,FALSE,"販売台数計画";"月販売台数計画",#N/A,FALSE,"販売台数計画"}</definedName>
    <definedName name="うぇｒｔｙ" hidden="1">{"年販売台数計画",#N/A,FALSE,"販売台数計画";"月販売台数計画",#N/A,FALSE,"販売台数計画"}</definedName>
    <definedName name="えＲＴＹ" hidden="1">{"年販売台数計画",#N/A,FALSE,"販売台数計画";"月販売台数計画",#N/A,FALSE,"販売台数計画"}</definedName>
    <definedName name="えｒちゅ" hidden="1">{"年販売台数計画",#N/A,FALSE,"販売台数計画";"月販売台数計画",#N/A,FALSE,"販売台数計画"}</definedName>
    <definedName name="くぇ" hidden="1">{"年販売台数計画",#N/A,FALSE,"販売台数計画";"月販売台数計画",#N/A,FALSE,"販売台数計画"}</definedName>
    <definedName name="くぇｒ" hidden="1">{"年販売台数計画",#N/A,FALSE,"販売台数計画";"月販売台数計画",#N/A,FALSE,"販売台数計画"}</definedName>
    <definedName name="ダブリ" hidden="1">{"年販売台数計画",#N/A,FALSE,"販売台数計画";"月販売台数計画",#N/A,FALSE,"販売台数計画"}</definedName>
    <definedName name="ドアトリム" hidden="1">{#N/A,"プレ技3/24見直し",FALSE,"内製専用設投";#N/A,"プレ技3/24見直し",FALSE,"内製汎用設投";#N/A,#N/A,FALSE,"ドアトリムコスト検証"}</definedName>
    <definedName name="れ" hidden="1">{"年販売台数計画",#N/A,FALSE,"販売台数計画";"月販売台数計画",#N/A,FALSE,"販売台数計画"}</definedName>
    <definedName name="わ" hidden="1">{"年販売台数計画",#N/A,FALSE,"販売台数計画";"月販売台数計画",#N/A,FALSE,"販売台数計画"}</definedName>
    <definedName name="わく7" hidden="1">{"年販売台数計画",#N/A,FALSE,"販売台数計画";"月販売台数計画",#N/A,FALSE,"販売台数計画"}</definedName>
    <definedName name="企画条件" hidden="1">{"年販売台数計画",#N/A,FALSE,"販売台数計画";"月販売台数計画",#N/A,FALSE,"販売台数計画"}</definedName>
    <definedName name="変更1" hidden="1">{"the池台数表",#N/A,TRUE,"負荷見通し(the池)";"the池グラフ",#N/A,TRUE,"負荷見通し(the池)";"the滋台数表",#N/A,TRUE,"負荷見通し(the滋)";"the滋グラフ",#N/A,TRUE,"負荷見通し(the滋)"}</definedName>
    <definedName name="変更2" hidden="1">{"the池台数表",#N/A,TRUE,"負荷見通し(the池)";"the池グラフ",#N/A,TRUE,"負荷見通し(the池)";"the滋台数表",#N/A,TRUE,"負荷見通し(the滋)";"the滋グラフ",#N/A,TRUE,"負荷見通し(the滋)"}</definedName>
    <definedName name="変更3" hidden="1">{"年販売台数計画",#N/A,FALSE,"販売台数計画";"月販売台数計画",#N/A,FALSE,"販売台数計画"}</definedName>
    <definedName name="枠3" hidden="1">{"年販売台数計画",#N/A,FALSE,"販売台数計画";"月販売台数計画",#N/A,FALSE,"販売台数計画"}</definedName>
    <definedName name="枠8" hidden="1">{"年販売台数計画",#N/A,FALSE,"販売台数計画";"月販売台数計画",#N/A,FALSE,"販売台数計画"}</definedName>
    <definedName name="枠重量6" hidden="1">{"年販売台数計画",#N/A,FALSE,"販売台数計画";"月販売台数計画",#N/A,FALSE,"販売台数計画"}</definedName>
    <definedName name="無く" hidden="1">{"年販売台数計画",#N/A,FALSE,"販売台数計画";"月販売台数計画",#N/A,FALSE,"販売台数計画"}</definedName>
    <definedName name="解除" hidden="1">{"年販売台数計画",#N/A,FALSE,"販売台数計画";"月販売台数計画",#N/A,FALSE,"販売台数計画"}</definedName>
    <definedName name="解除1" hidden="1">{"年販売台数計画",#N/A,FALSE,"販売台数計画";"月販売台数計画",#N/A,FALSE,"販売台数計画"}</definedName>
    <definedName name="解除2" hidden="1">{"年販売台数計画",#N/A,FALSE,"販売台数計画";"月販売台数計画",#N/A,FALSE,"販売台数計画"}</definedName>
    <definedName name="調整" hidden="1">{"'TOYOTA'!$A$1:$R$26"}</definedName>
    <definedName name="販売台数" hidden="1">{"年販売台数計画",#N/A,FALSE,"販売台数計画";"月販売台数計画",#N/A,FALSE,"販売台数計画"}</definedName>
    <definedName name="関連表" localSheetId="2" hidden="1">#REF!</definedName>
    <definedName name="関連表" localSheetId="7" hidden="1">#REF!</definedName>
    <definedName name="関連表" localSheetId="5" hidden="1">#REF!</definedName>
    <definedName name="関連表" localSheetId="6" hidden="1">#REF!</definedName>
    <definedName name="関連表" localSheetId="11" hidden="1">#REF!</definedName>
    <definedName name="関連表" localSheetId="12" hidden="1">#REF!</definedName>
    <definedName name="関連表" localSheetId="13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J47" i="60" l="1"/>
  <c r="G202" i="60" l="1"/>
  <c r="D222" i="60" l="1"/>
  <c r="AZ68" i="71" l="1"/>
  <c r="AY68" i="71"/>
  <c r="AZ67" i="71"/>
  <c r="AY67" i="71"/>
  <c r="AX67" i="71"/>
  <c r="AX68" i="71" s="1"/>
  <c r="AV68" i="71"/>
  <c r="AU68" i="71"/>
  <c r="AV67" i="71"/>
  <c r="AU67" i="71"/>
  <c r="AT67" i="71"/>
  <c r="AT68" i="71" s="1"/>
  <c r="AR67" i="71"/>
  <c r="AQ67" i="71"/>
  <c r="AP67" i="71"/>
  <c r="AY68" i="70"/>
  <c r="AZ67" i="70"/>
  <c r="AY67" i="70"/>
  <c r="AX67" i="70"/>
  <c r="AX68" i="70" s="1"/>
  <c r="AV67" i="70"/>
  <c r="AU67" i="70"/>
  <c r="AT67" i="70"/>
  <c r="AT68" i="70" s="1"/>
  <c r="AR67" i="70"/>
  <c r="AQ68" i="70" s="1"/>
  <c r="AQ67" i="70"/>
  <c r="AP67" i="70"/>
  <c r="AY94" i="69"/>
  <c r="AX94" i="69"/>
  <c r="AZ92" i="69"/>
  <c r="AY92" i="69"/>
  <c r="AX92" i="69"/>
  <c r="AZ91" i="69"/>
  <c r="AZ94" i="69" s="1"/>
  <c r="AZ95" i="69" s="1"/>
  <c r="AY91" i="69"/>
  <c r="AX91" i="69"/>
  <c r="AV91" i="69"/>
  <c r="AV94" i="69" s="1"/>
  <c r="AU91" i="69"/>
  <c r="AU94" i="69" s="1"/>
  <c r="AT91" i="69"/>
  <c r="AT92" i="69" s="1"/>
  <c r="AR94" i="69"/>
  <c r="AR92" i="69"/>
  <c r="AR91" i="69"/>
  <c r="AQ91" i="69"/>
  <c r="AQ94" i="69" s="1"/>
  <c r="AP91" i="69"/>
  <c r="AP92" i="69" s="1"/>
  <c r="AQ68" i="71" l="1"/>
  <c r="AR68" i="71"/>
  <c r="AP68" i="71"/>
  <c r="AZ68" i="70"/>
  <c r="AU68" i="70"/>
  <c r="AV68" i="70"/>
  <c r="AR68" i="70"/>
  <c r="AP68" i="70"/>
  <c r="AX95" i="69"/>
  <c r="AY95" i="69"/>
  <c r="AV95" i="69"/>
  <c r="AV92" i="69"/>
  <c r="AT94" i="69"/>
  <c r="AT95" i="69" s="1"/>
  <c r="AU92" i="69"/>
  <c r="AR95" i="69"/>
  <c r="AQ92" i="69"/>
  <c r="AP94" i="69"/>
  <c r="AP95" i="69" s="1"/>
  <c r="M15" i="60"/>
  <c r="AU95" i="69" l="1"/>
  <c r="AQ95" i="69"/>
  <c r="AZ67" i="61"/>
  <c r="AZ75" i="61" s="1"/>
  <c r="AY67" i="61"/>
  <c r="AX67" i="61"/>
  <c r="AV67" i="61"/>
  <c r="AU67" i="61"/>
  <c r="AT67" i="61"/>
  <c r="AR67" i="61"/>
  <c r="AR75" i="61" s="1"/>
  <c r="AQ67" i="61"/>
  <c r="AP67" i="61"/>
  <c r="AY68" i="61" l="1"/>
  <c r="AX75" i="61"/>
  <c r="AZ68" i="61"/>
  <c r="AY75" i="61"/>
  <c r="AZ76" i="61" s="1"/>
  <c r="AX68" i="61"/>
  <c r="AT68" i="61"/>
  <c r="AV68" i="61"/>
  <c r="AU75" i="61"/>
  <c r="AU68" i="61"/>
  <c r="AT75" i="61"/>
  <c r="AV75" i="61"/>
  <c r="AP68" i="61"/>
  <c r="AQ68" i="61"/>
  <c r="AP75" i="61"/>
  <c r="AR68" i="61"/>
  <c r="AQ75" i="61"/>
  <c r="AN67" i="71"/>
  <c r="AM67" i="71"/>
  <c r="AL67" i="71"/>
  <c r="AJ67" i="71"/>
  <c r="AI67" i="71"/>
  <c r="AH67" i="71"/>
  <c r="AM67" i="70"/>
  <c r="AL67" i="70"/>
  <c r="AN67" i="70"/>
  <c r="AI67" i="70"/>
  <c r="AH67" i="70"/>
  <c r="AJ67" i="70"/>
  <c r="AN91" i="69"/>
  <c r="AM91" i="69"/>
  <c r="AL91" i="69"/>
  <c r="AL92" i="69" s="1"/>
  <c r="AJ91" i="69"/>
  <c r="AI91" i="69"/>
  <c r="AI94" i="69" s="1"/>
  <c r="AH91" i="69"/>
  <c r="AH92" i="69" s="1"/>
  <c r="AN67" i="61"/>
  <c r="AM67" i="61"/>
  <c r="AL67" i="61"/>
  <c r="AY76" i="61" l="1"/>
  <c r="AX76" i="61"/>
  <c r="AT76" i="61"/>
  <c r="AV76" i="61"/>
  <c r="AU76" i="61"/>
  <c r="AQ76" i="61"/>
  <c r="AP76" i="61"/>
  <c r="AR76" i="61"/>
  <c r="AM68" i="71"/>
  <c r="AN68" i="71"/>
  <c r="AL68" i="71"/>
  <c r="AH68" i="71"/>
  <c r="AJ68" i="71"/>
  <c r="AI68" i="71"/>
  <c r="AM68" i="70"/>
  <c r="AN68" i="70"/>
  <c r="AL68" i="70"/>
  <c r="AH68" i="70"/>
  <c r="AI68" i="70"/>
  <c r="AJ68" i="70"/>
  <c r="AJ92" i="69"/>
  <c r="AM94" i="69"/>
  <c r="AN94" i="69"/>
  <c r="AM92" i="69"/>
  <c r="AN92" i="69"/>
  <c r="AH94" i="69"/>
  <c r="AH95" i="69" s="1"/>
  <c r="AI92" i="69"/>
  <c r="AJ94" i="69"/>
  <c r="AL75" i="61"/>
  <c r="AL68" i="61"/>
  <c r="AM75" i="61"/>
  <c r="AM68" i="61"/>
  <c r="AN75" i="61"/>
  <c r="AN68" i="61"/>
  <c r="AN76" i="61" l="1"/>
  <c r="AL94" i="69"/>
  <c r="AL95" i="69" s="1"/>
  <c r="AN95" i="69"/>
  <c r="AM95" i="69"/>
  <c r="AJ95" i="69"/>
  <c r="AI95" i="69"/>
  <c r="AM76" i="61"/>
  <c r="AL76" i="61"/>
  <c r="AJ54" i="61"/>
  <c r="AI54" i="61"/>
  <c r="AH54" i="61"/>
  <c r="AJ47" i="61"/>
  <c r="AI47" i="61"/>
  <c r="AH47" i="61"/>
  <c r="AJ46" i="61"/>
  <c r="AI46" i="61"/>
  <c r="AH46" i="61"/>
  <c r="AJ44" i="61"/>
  <c r="AI44" i="61"/>
  <c r="AH44" i="61"/>
  <c r="AJ43" i="61"/>
  <c r="AI43" i="61"/>
  <c r="AH43" i="61"/>
  <c r="AJ42" i="61"/>
  <c r="AI42" i="61"/>
  <c r="AH42" i="61"/>
  <c r="AJ41" i="61"/>
  <c r="AI41" i="61"/>
  <c r="AH41" i="61"/>
  <c r="AJ40" i="61"/>
  <c r="AI40" i="61"/>
  <c r="AH40" i="61"/>
  <c r="AJ39" i="61"/>
  <c r="AI39" i="61"/>
  <c r="AH39" i="61"/>
  <c r="AJ38" i="61"/>
  <c r="AI38" i="61"/>
  <c r="AH38" i="61"/>
  <c r="AJ37" i="61"/>
  <c r="AI37" i="61"/>
  <c r="AH37" i="61"/>
  <c r="AJ36" i="61"/>
  <c r="AI36" i="61"/>
  <c r="AH36" i="61"/>
  <c r="AJ35" i="61"/>
  <c r="AI35" i="61"/>
  <c r="AH35" i="61"/>
  <c r="AJ34" i="61"/>
  <c r="AI34" i="61"/>
  <c r="AH34" i="61"/>
  <c r="AJ33" i="61"/>
  <c r="AI33" i="61"/>
  <c r="AH33" i="61"/>
  <c r="AJ32" i="61"/>
  <c r="AI32" i="61"/>
  <c r="AH32" i="61"/>
  <c r="AJ31" i="61"/>
  <c r="AI31" i="61"/>
  <c r="AH31" i="61"/>
  <c r="AJ30" i="61"/>
  <c r="AI30" i="61"/>
  <c r="AH30" i="61"/>
  <c r="AJ29" i="61"/>
  <c r="AI29" i="61"/>
  <c r="AH29" i="61"/>
  <c r="AJ28" i="61"/>
  <c r="AI28" i="61"/>
  <c r="AH28" i="61"/>
  <c r="AJ27" i="61"/>
  <c r="AI27" i="61"/>
  <c r="AH27" i="61"/>
  <c r="AJ26" i="61"/>
  <c r="AI26" i="61"/>
  <c r="AH26" i="61"/>
  <c r="AJ25" i="61"/>
  <c r="AI25" i="61"/>
  <c r="AH25" i="61"/>
  <c r="AJ18" i="61"/>
  <c r="AI18" i="61"/>
  <c r="AH18" i="61"/>
  <c r="AJ17" i="61"/>
  <c r="AI17" i="61"/>
  <c r="AH17" i="61"/>
  <c r="AJ16" i="61"/>
  <c r="AI16" i="61"/>
  <c r="AH16" i="61"/>
  <c r="AJ15" i="61"/>
  <c r="AI15" i="61"/>
  <c r="AH15" i="61"/>
  <c r="AJ14" i="61"/>
  <c r="AI14" i="61"/>
  <c r="AH14" i="61"/>
  <c r="AJ13" i="61"/>
  <c r="AI13" i="61"/>
  <c r="AH13" i="61"/>
  <c r="AJ12" i="61"/>
  <c r="AI12" i="61"/>
  <c r="AH12" i="61"/>
  <c r="AJ11" i="61"/>
  <c r="AI11" i="61"/>
  <c r="AH11" i="61"/>
  <c r="AJ10" i="61"/>
  <c r="AI10" i="61"/>
  <c r="AH10" i="61"/>
  <c r="AJ9" i="61"/>
  <c r="AI9" i="61"/>
  <c r="AH9" i="61"/>
  <c r="AJ8" i="61"/>
  <c r="AI8" i="61"/>
  <c r="AH8" i="61"/>
  <c r="AJ6" i="61"/>
  <c r="AI6" i="61"/>
  <c r="AH6" i="61"/>
  <c r="AJ5" i="61"/>
  <c r="AI5" i="61"/>
  <c r="AH5" i="61"/>
  <c r="AJ4" i="61"/>
  <c r="AI4" i="61"/>
  <c r="AH4" i="61"/>
  <c r="AH67" i="61" l="1"/>
  <c r="AI67" i="61"/>
  <c r="AI75" i="61" s="1"/>
  <c r="AJ67" i="61"/>
  <c r="AH75" i="61" l="1"/>
  <c r="AJ68" i="61"/>
  <c r="AJ75" i="61"/>
  <c r="AH68" i="61"/>
  <c r="AI68" i="61"/>
  <c r="AH76" i="61" l="1"/>
  <c r="AI76" i="61"/>
  <c r="AJ76" i="61"/>
  <c r="AD56" i="71"/>
  <c r="AF66" i="71" l="1"/>
  <c r="AE66" i="71"/>
  <c r="AD66" i="71"/>
  <c r="AF66" i="61"/>
  <c r="AE66" i="61"/>
  <c r="AD66" i="61"/>
  <c r="AF65" i="61"/>
  <c r="AE65" i="61"/>
  <c r="AD65" i="61"/>
  <c r="AF64" i="61"/>
  <c r="AE64" i="61"/>
  <c r="AD64" i="61"/>
  <c r="AF63" i="61"/>
  <c r="AE63" i="61"/>
  <c r="AD63" i="61"/>
  <c r="AF66" i="70"/>
  <c r="AE66" i="70"/>
  <c r="AD66" i="70"/>
  <c r="AF31" i="71"/>
  <c r="AD57" i="71"/>
  <c r="AF64" i="70" l="1"/>
  <c r="AE54" i="71"/>
  <c r="AD4" i="61"/>
  <c r="AD13" i="61"/>
  <c r="AD43" i="61"/>
  <c r="AE24" i="61"/>
  <c r="AF23" i="70"/>
  <c r="AE26" i="71"/>
  <c r="AF51" i="71"/>
  <c r="AD5" i="61"/>
  <c r="AD14" i="61"/>
  <c r="AD44" i="61"/>
  <c r="AE28" i="61"/>
  <c r="AD29" i="71"/>
  <c r="AF61" i="70"/>
  <c r="AD59" i="70"/>
  <c r="AF51" i="70"/>
  <c r="AD49" i="70"/>
  <c r="AF41" i="70"/>
  <c r="AF22" i="70"/>
  <c r="AE14" i="70"/>
  <c r="AF11" i="70"/>
  <c r="AD9" i="70"/>
  <c r="AF58" i="70"/>
  <c r="AF47" i="70"/>
  <c r="AF29" i="70"/>
  <c r="AF16" i="70"/>
  <c r="AD14" i="70"/>
  <c r="AF8" i="70"/>
  <c r="AE58" i="70"/>
  <c r="AF55" i="70"/>
  <c r="AF44" i="70"/>
  <c r="AF25" i="70"/>
  <c r="AE16" i="70"/>
  <c r="AF13" i="70"/>
  <c r="AF5" i="70"/>
  <c r="AF60" i="70"/>
  <c r="AD58" i="70"/>
  <c r="AE55" i="70"/>
  <c r="AF50" i="70"/>
  <c r="AF31" i="70"/>
  <c r="AF18" i="70"/>
  <c r="AD16" i="70"/>
  <c r="AE13" i="70"/>
  <c r="AF10" i="70"/>
  <c r="AF57" i="70"/>
  <c r="AD55" i="70"/>
  <c r="AF46" i="70"/>
  <c r="AF28" i="70"/>
  <c r="AF15" i="70"/>
  <c r="AD13" i="70"/>
  <c r="AE10" i="70"/>
  <c r="AF7" i="70"/>
  <c r="AE64" i="70"/>
  <c r="AF59" i="70"/>
  <c r="AE54" i="70"/>
  <c r="AF49" i="70"/>
  <c r="AE42" i="70"/>
  <c r="AF30" i="70"/>
  <c r="AF17" i="70"/>
  <c r="AD15" i="70"/>
  <c r="AF9" i="70"/>
  <c r="AD64" i="70"/>
  <c r="AE59" i="70"/>
  <c r="AF56" i="70"/>
  <c r="AD54" i="70"/>
  <c r="AE49" i="70"/>
  <c r="AF45" i="70"/>
  <c r="AD42" i="70"/>
  <c r="AF26" i="70"/>
  <c r="AF14" i="70"/>
  <c r="AE9" i="70"/>
  <c r="AF6" i="70"/>
  <c r="AE61" i="71"/>
  <c r="AF58" i="71"/>
  <c r="AE53" i="71"/>
  <c r="AF50" i="71"/>
  <c r="AD44" i="71"/>
  <c r="AE41" i="71"/>
  <c r="AF38" i="71"/>
  <c r="AD36" i="71"/>
  <c r="AE33" i="71"/>
  <c r="AF30" i="71"/>
  <c r="AD28" i="71"/>
  <c r="AE24" i="71"/>
  <c r="AF21" i="71"/>
  <c r="AD19" i="71"/>
  <c r="AE16" i="71"/>
  <c r="AF13" i="71"/>
  <c r="AD11" i="71"/>
  <c r="AE8" i="71"/>
  <c r="AF65" i="71"/>
  <c r="AD61" i="71"/>
  <c r="AE58" i="71"/>
  <c r="AF55" i="71"/>
  <c r="AD53" i="71"/>
  <c r="AE50" i="71"/>
  <c r="AF43" i="71"/>
  <c r="AD41" i="71"/>
  <c r="AE38" i="71"/>
  <c r="AF35" i="71"/>
  <c r="AD33" i="71"/>
  <c r="AE30" i="71"/>
  <c r="AF27" i="71"/>
  <c r="AD24" i="71"/>
  <c r="AE21" i="71"/>
  <c r="AF18" i="71"/>
  <c r="AD16" i="71"/>
  <c r="AE13" i="71"/>
  <c r="AF10" i="71"/>
  <c r="AD8" i="71"/>
  <c r="AE65" i="71"/>
  <c r="AF60" i="71"/>
  <c r="AD58" i="71"/>
  <c r="AE55" i="71"/>
  <c r="AF52" i="71"/>
  <c r="AD50" i="71"/>
  <c r="AE43" i="71"/>
  <c r="AF40" i="71"/>
  <c r="AD38" i="71"/>
  <c r="AE35" i="71"/>
  <c r="AF32" i="71"/>
  <c r="AD30" i="71"/>
  <c r="AE27" i="71"/>
  <c r="AF23" i="71"/>
  <c r="AD21" i="71"/>
  <c r="AE18" i="71"/>
  <c r="AF15" i="71"/>
  <c r="AD13" i="71"/>
  <c r="AE10" i="71"/>
  <c r="AF6" i="71"/>
  <c r="AD65" i="71"/>
  <c r="AE60" i="71"/>
  <c r="AF57" i="71"/>
  <c r="AD55" i="71"/>
  <c r="AE52" i="71"/>
  <c r="AF49" i="71"/>
  <c r="AD43" i="71"/>
  <c r="AE40" i="71"/>
  <c r="AF37" i="71"/>
  <c r="AD35" i="71"/>
  <c r="AE32" i="71"/>
  <c r="AF29" i="71"/>
  <c r="AD27" i="71"/>
  <c r="AE23" i="71"/>
  <c r="AF20" i="71"/>
  <c r="AD18" i="71"/>
  <c r="AF12" i="71"/>
  <c r="AD10" i="71"/>
  <c r="AE6" i="71"/>
  <c r="AF64" i="71"/>
  <c r="AD60" i="71"/>
  <c r="AE57" i="71"/>
  <c r="AF54" i="71"/>
  <c r="AD52" i="71"/>
  <c r="AE49" i="71"/>
  <c r="AF42" i="71"/>
  <c r="AD40" i="71"/>
  <c r="AE37" i="71"/>
  <c r="AF34" i="71"/>
  <c r="AD32" i="71"/>
  <c r="AE29" i="71"/>
  <c r="AF26" i="71"/>
  <c r="AD23" i="71"/>
  <c r="AE20" i="71"/>
  <c r="AF17" i="71"/>
  <c r="AE12" i="71"/>
  <c r="AF9" i="71"/>
  <c r="AD6" i="71"/>
  <c r="AD64" i="71"/>
  <c r="AE59" i="71"/>
  <c r="AD54" i="71"/>
  <c r="AE51" i="71"/>
  <c r="AF44" i="71"/>
  <c r="AD42" i="71"/>
  <c r="AE39" i="71"/>
  <c r="AF36" i="71"/>
  <c r="AD34" i="71"/>
  <c r="AE31" i="71"/>
  <c r="AF28" i="71"/>
  <c r="AD26" i="71"/>
  <c r="AE22" i="71"/>
  <c r="AF19" i="71"/>
  <c r="AD17" i="71"/>
  <c r="AE14" i="71"/>
  <c r="AF11" i="71"/>
  <c r="AD9" i="71"/>
  <c r="AF61" i="71"/>
  <c r="AD59" i="71"/>
  <c r="AE56" i="71"/>
  <c r="AF53" i="71"/>
  <c r="AD51" i="71"/>
  <c r="AE44" i="71"/>
  <c r="AF41" i="71"/>
  <c r="AD39" i="71"/>
  <c r="AE36" i="71"/>
  <c r="AF33" i="71"/>
  <c r="AD31" i="71"/>
  <c r="AE28" i="71"/>
  <c r="AF24" i="71"/>
  <c r="AD22" i="71"/>
  <c r="AE19" i="71"/>
  <c r="AF16" i="71"/>
  <c r="AD14" i="71"/>
  <c r="AE11" i="71"/>
  <c r="AF8" i="71"/>
  <c r="AD8" i="61"/>
  <c r="AD16" i="61"/>
  <c r="AD59" i="61"/>
  <c r="AE36" i="61"/>
  <c r="AF42" i="70"/>
  <c r="AD12" i="71"/>
  <c r="AE34" i="71"/>
  <c r="AF59" i="71"/>
  <c r="AE32" i="61"/>
  <c r="AE9" i="71"/>
  <c r="AD9" i="61"/>
  <c r="AD27" i="61"/>
  <c r="AF6" i="61"/>
  <c r="AE40" i="61"/>
  <c r="AD10" i="70"/>
  <c r="AF14" i="71"/>
  <c r="AD37" i="71"/>
  <c r="AE64" i="71"/>
  <c r="AD6" i="61"/>
  <c r="AD58" i="61"/>
  <c r="AD10" i="61"/>
  <c r="AD28" i="61"/>
  <c r="AE8" i="61"/>
  <c r="AE44" i="61"/>
  <c r="AF12" i="70"/>
  <c r="AE17" i="71"/>
  <c r="AF39" i="71"/>
  <c r="AF46" i="61"/>
  <c r="AF42" i="61"/>
  <c r="AF38" i="61"/>
  <c r="AF34" i="61"/>
  <c r="AF30" i="61"/>
  <c r="AF18" i="61"/>
  <c r="AF14" i="61"/>
  <c r="AF10" i="61"/>
  <c r="AF5" i="61"/>
  <c r="AD56" i="61"/>
  <c r="AD41" i="61"/>
  <c r="AD33" i="61"/>
  <c r="AD25" i="61"/>
  <c r="AE57" i="61"/>
  <c r="AE46" i="61"/>
  <c r="AE42" i="61"/>
  <c r="AE38" i="61"/>
  <c r="AE34" i="61"/>
  <c r="AE30" i="61"/>
  <c r="AE26" i="61"/>
  <c r="AE14" i="61"/>
  <c r="AE10" i="61"/>
  <c r="AE5" i="61"/>
  <c r="AD54" i="61"/>
  <c r="AD40" i="61"/>
  <c r="AD32" i="61"/>
  <c r="AF61" i="61"/>
  <c r="AF56" i="61"/>
  <c r="AF45" i="61"/>
  <c r="AF41" i="61"/>
  <c r="AF37" i="61"/>
  <c r="AF33" i="61"/>
  <c r="AF29" i="61"/>
  <c r="AF25" i="61"/>
  <c r="AF17" i="61"/>
  <c r="AF13" i="61"/>
  <c r="AF9" i="61"/>
  <c r="AF4" i="61"/>
  <c r="AD47" i="61"/>
  <c r="AD39" i="61"/>
  <c r="AD31" i="61"/>
  <c r="AD22" i="61"/>
  <c r="AE61" i="61"/>
  <c r="AE56" i="61"/>
  <c r="AE45" i="61"/>
  <c r="AE41" i="61"/>
  <c r="AE37" i="61"/>
  <c r="AE33" i="61"/>
  <c r="AE29" i="61"/>
  <c r="AE25" i="61"/>
  <c r="AE17" i="61"/>
  <c r="AE13" i="61"/>
  <c r="AE9" i="61"/>
  <c r="AE4" i="61"/>
  <c r="AD46" i="61"/>
  <c r="AD38" i="61"/>
  <c r="AD30" i="61"/>
  <c r="AF59" i="61"/>
  <c r="AF54" i="61"/>
  <c r="AF44" i="61"/>
  <c r="AF40" i="61"/>
  <c r="AF36" i="61"/>
  <c r="AF32" i="61"/>
  <c r="AF28" i="61"/>
  <c r="AF16" i="61"/>
  <c r="AF12" i="61"/>
  <c r="AF8" i="61"/>
  <c r="AD61" i="61"/>
  <c r="AD45" i="61"/>
  <c r="AD37" i="61"/>
  <c r="AD29" i="61"/>
  <c r="AD17" i="61"/>
  <c r="AF58" i="61"/>
  <c r="AF47" i="61"/>
  <c r="AF43" i="61"/>
  <c r="AF39" i="61"/>
  <c r="AF35" i="61"/>
  <c r="AF31" i="61"/>
  <c r="AF27" i="61"/>
  <c r="AF22" i="61"/>
  <c r="AF15" i="61"/>
  <c r="AF11" i="61"/>
  <c r="AE58" i="61"/>
  <c r="AE47" i="61"/>
  <c r="AE43" i="61"/>
  <c r="AE39" i="61"/>
  <c r="AE35" i="61"/>
  <c r="AE31" i="61"/>
  <c r="AE27" i="61"/>
  <c r="AE22" i="61"/>
  <c r="AE11" i="61"/>
  <c r="AE6" i="61"/>
  <c r="AD42" i="61"/>
  <c r="AD34" i="61"/>
  <c r="AD11" i="61"/>
  <c r="AD35" i="61"/>
  <c r="AE12" i="61"/>
  <c r="AE54" i="61"/>
  <c r="AE15" i="70"/>
  <c r="AF54" i="70"/>
  <c r="AD20" i="71"/>
  <c r="AE42" i="71"/>
  <c r="AE91" i="69"/>
  <c r="AD91" i="69"/>
  <c r="AF91" i="69"/>
  <c r="AD12" i="61"/>
  <c r="AD36" i="61"/>
  <c r="AE16" i="61"/>
  <c r="AE59" i="61"/>
  <c r="AF22" i="71"/>
  <c r="AD49" i="71"/>
  <c r="AE67" i="71" l="1"/>
  <c r="AE70" i="71" s="1"/>
  <c r="AI70" i="71" s="1"/>
  <c r="AD67" i="70"/>
  <c r="AD70" i="70" s="1"/>
  <c r="AH70" i="70" s="1"/>
  <c r="AF67" i="71"/>
  <c r="AF67" i="70"/>
  <c r="AD67" i="71"/>
  <c r="AE67" i="70"/>
  <c r="AE70" i="70" s="1"/>
  <c r="AI70" i="70" s="1"/>
  <c r="AE94" i="69"/>
  <c r="AF94" i="69"/>
  <c r="AD94" i="69"/>
  <c r="AF67" i="61"/>
  <c r="AD67" i="61"/>
  <c r="AE67" i="61"/>
  <c r="AF70" i="71"/>
  <c r="AJ70" i="71" s="1"/>
  <c r="P67" i="71"/>
  <c r="O67" i="71"/>
  <c r="N67" i="71"/>
  <c r="L67" i="71"/>
  <c r="K67" i="71"/>
  <c r="J67" i="71"/>
  <c r="H67" i="71"/>
  <c r="H70" i="71" s="1"/>
  <c r="G67" i="71"/>
  <c r="F67" i="71"/>
  <c r="P67" i="70"/>
  <c r="O67" i="70"/>
  <c r="N67" i="70"/>
  <c r="L67" i="70"/>
  <c r="K67" i="70"/>
  <c r="J67" i="70"/>
  <c r="H67" i="70"/>
  <c r="H70" i="70" s="1"/>
  <c r="G67" i="70"/>
  <c r="F67" i="70"/>
  <c r="F70" i="70" s="1"/>
  <c r="P91" i="69"/>
  <c r="O91" i="69"/>
  <c r="N91" i="69"/>
  <c r="L91" i="69"/>
  <c r="K91" i="69"/>
  <c r="J91" i="69"/>
  <c r="H91" i="69"/>
  <c r="H94" i="69" s="1"/>
  <c r="G91" i="69"/>
  <c r="G94" i="69" s="1"/>
  <c r="F91" i="69"/>
  <c r="F94" i="69" s="1"/>
  <c r="AM70" i="70" l="1"/>
  <c r="AQ70" i="70" s="1"/>
  <c r="AM70" i="71"/>
  <c r="AQ70" i="71" s="1"/>
  <c r="AF68" i="70"/>
  <c r="AN70" i="71"/>
  <c r="AR70" i="71" s="1"/>
  <c r="AL70" i="70"/>
  <c r="AP70" i="70" s="1"/>
  <c r="AF70" i="70"/>
  <c r="AE71" i="70" s="1"/>
  <c r="AD68" i="70"/>
  <c r="AF68" i="61"/>
  <c r="AD75" i="61"/>
  <c r="AE68" i="61"/>
  <c r="AE68" i="70"/>
  <c r="AF75" i="61"/>
  <c r="AD92" i="69"/>
  <c r="AF92" i="69"/>
  <c r="AE75" i="61"/>
  <c r="AD95" i="69"/>
  <c r="AE92" i="69"/>
  <c r="AD68" i="61"/>
  <c r="AD70" i="71"/>
  <c r="AD68" i="71"/>
  <c r="AE68" i="71"/>
  <c r="AE95" i="69"/>
  <c r="AF68" i="71"/>
  <c r="AF95" i="69"/>
  <c r="K68" i="71"/>
  <c r="AA67" i="71"/>
  <c r="H68" i="71"/>
  <c r="N68" i="70"/>
  <c r="S67" i="70"/>
  <c r="V67" i="70"/>
  <c r="K68" i="70"/>
  <c r="O68" i="70"/>
  <c r="P68" i="70"/>
  <c r="Z91" i="69"/>
  <c r="J94" i="69"/>
  <c r="N94" i="69" s="1"/>
  <c r="J92" i="69"/>
  <c r="W91" i="69"/>
  <c r="X67" i="71"/>
  <c r="Z67" i="71"/>
  <c r="AA68" i="71" s="1"/>
  <c r="W67" i="71"/>
  <c r="W68" i="71" s="1"/>
  <c r="L68" i="71"/>
  <c r="O68" i="71"/>
  <c r="AB67" i="71"/>
  <c r="P68" i="71"/>
  <c r="R67" i="71"/>
  <c r="S67" i="71"/>
  <c r="T67" i="71"/>
  <c r="G68" i="71"/>
  <c r="F70" i="71"/>
  <c r="J70" i="71" s="1"/>
  <c r="V67" i="71"/>
  <c r="G70" i="71"/>
  <c r="K70" i="71" s="1"/>
  <c r="O70" i="71" s="1"/>
  <c r="J68" i="71"/>
  <c r="N68" i="71"/>
  <c r="F68" i="71"/>
  <c r="L68" i="70"/>
  <c r="T67" i="70"/>
  <c r="T70" i="70" s="1"/>
  <c r="W67" i="70"/>
  <c r="X67" i="70"/>
  <c r="Z67" i="70"/>
  <c r="G68" i="70"/>
  <c r="H68" i="70"/>
  <c r="L70" i="70"/>
  <c r="P70" i="70" s="1"/>
  <c r="G70" i="70"/>
  <c r="G71" i="70" s="1"/>
  <c r="AA67" i="70"/>
  <c r="R67" i="70"/>
  <c r="AB67" i="70"/>
  <c r="J68" i="70"/>
  <c r="J70" i="70"/>
  <c r="F68" i="70"/>
  <c r="L92" i="69"/>
  <c r="L94" i="69"/>
  <c r="P94" i="69" s="1"/>
  <c r="AA91" i="69"/>
  <c r="X91" i="69"/>
  <c r="P92" i="69"/>
  <c r="R91" i="69"/>
  <c r="S91" i="69"/>
  <c r="K92" i="69"/>
  <c r="AB91" i="69"/>
  <c r="T91" i="69"/>
  <c r="V91" i="69"/>
  <c r="L70" i="71"/>
  <c r="N70" i="71"/>
  <c r="F71" i="71"/>
  <c r="F95" i="69"/>
  <c r="K94" i="69"/>
  <c r="G95" i="69"/>
  <c r="N92" i="69"/>
  <c r="H95" i="69"/>
  <c r="O92" i="69"/>
  <c r="F92" i="69"/>
  <c r="G92" i="69"/>
  <c r="H92" i="69"/>
  <c r="G67" i="61"/>
  <c r="G75" i="61" s="1"/>
  <c r="H67" i="61"/>
  <c r="H75" i="61" s="1"/>
  <c r="F67" i="61"/>
  <c r="F75" i="61" s="1"/>
  <c r="AV70" i="71" l="1"/>
  <c r="AT70" i="70"/>
  <c r="AU70" i="71"/>
  <c r="AU70" i="70"/>
  <c r="AF71" i="70"/>
  <c r="AD71" i="71"/>
  <c r="AH70" i="71"/>
  <c r="AD71" i="70"/>
  <c r="AJ70" i="70"/>
  <c r="AF76" i="61"/>
  <c r="AE76" i="61"/>
  <c r="AD76" i="61"/>
  <c r="AF71" i="71"/>
  <c r="AE71" i="71"/>
  <c r="H76" i="61"/>
  <c r="H78" i="61"/>
  <c r="F76" i="61"/>
  <c r="F78" i="61"/>
  <c r="G76" i="61"/>
  <c r="G78" i="61"/>
  <c r="X68" i="71"/>
  <c r="R68" i="71"/>
  <c r="S68" i="71"/>
  <c r="AB68" i="71"/>
  <c r="S70" i="71"/>
  <c r="W70" i="71" s="1"/>
  <c r="AA70" i="71" s="1"/>
  <c r="H71" i="71"/>
  <c r="S68" i="70"/>
  <c r="V68" i="70"/>
  <c r="X70" i="70"/>
  <c r="AB70" i="70" s="1"/>
  <c r="K70" i="70"/>
  <c r="O70" i="70" s="1"/>
  <c r="S70" i="70" s="1"/>
  <c r="R68" i="70"/>
  <c r="F71" i="70"/>
  <c r="H71" i="70"/>
  <c r="W68" i="70"/>
  <c r="Z68" i="70"/>
  <c r="AB68" i="70"/>
  <c r="X68" i="70"/>
  <c r="R94" i="69"/>
  <c r="S92" i="69"/>
  <c r="X92" i="69"/>
  <c r="R92" i="69"/>
  <c r="Z92" i="69"/>
  <c r="G71" i="71"/>
  <c r="V68" i="71"/>
  <c r="J71" i="71"/>
  <c r="T68" i="71"/>
  <c r="Z68" i="71"/>
  <c r="L71" i="70"/>
  <c r="AA68" i="70"/>
  <c r="T68" i="70"/>
  <c r="N70" i="70"/>
  <c r="AA92" i="69"/>
  <c r="V92" i="69"/>
  <c r="W92" i="69"/>
  <c r="T92" i="69"/>
  <c r="AB92" i="69"/>
  <c r="R70" i="71"/>
  <c r="P70" i="71"/>
  <c r="O71" i="71" s="1"/>
  <c r="L71" i="71"/>
  <c r="K71" i="71"/>
  <c r="T94" i="69"/>
  <c r="V94" i="69"/>
  <c r="O94" i="69"/>
  <c r="K95" i="69"/>
  <c r="J95" i="69"/>
  <c r="L95" i="69"/>
  <c r="AB67" i="61"/>
  <c r="AB75" i="61" s="1"/>
  <c r="AA67" i="61"/>
  <c r="AA75" i="61" s="1"/>
  <c r="Z67" i="61"/>
  <c r="AY70" i="70" l="1"/>
  <c r="AY70" i="71"/>
  <c r="AX70" i="70"/>
  <c r="AZ70" i="71"/>
  <c r="AH71" i="71"/>
  <c r="AL70" i="71"/>
  <c r="AP70" i="71" s="1"/>
  <c r="AI71" i="71"/>
  <c r="AJ71" i="71"/>
  <c r="AJ71" i="70"/>
  <c r="AN70" i="70"/>
  <c r="AR70" i="70" s="1"/>
  <c r="AI71" i="70"/>
  <c r="AH71" i="70"/>
  <c r="Z75" i="61"/>
  <c r="Z76" i="61" s="1"/>
  <c r="H79" i="61"/>
  <c r="G79" i="61"/>
  <c r="F79" i="61"/>
  <c r="J71" i="70"/>
  <c r="K71" i="70"/>
  <c r="P71" i="70"/>
  <c r="O71" i="70"/>
  <c r="N71" i="70"/>
  <c r="R70" i="70"/>
  <c r="S71" i="70" s="1"/>
  <c r="V70" i="71"/>
  <c r="T70" i="71"/>
  <c r="R71" i="71" s="1"/>
  <c r="P71" i="71"/>
  <c r="N71" i="71"/>
  <c r="W70" i="70"/>
  <c r="Z94" i="69"/>
  <c r="X94" i="69"/>
  <c r="O95" i="69"/>
  <c r="S94" i="69"/>
  <c r="N95" i="69"/>
  <c r="P95" i="69"/>
  <c r="Z68" i="61"/>
  <c r="AB68" i="61"/>
  <c r="AA68" i="61"/>
  <c r="P138" i="60"/>
  <c r="P137" i="60"/>
  <c r="P136" i="60"/>
  <c r="P117" i="60"/>
  <c r="P116" i="60"/>
  <c r="P115" i="60"/>
  <c r="P96" i="60"/>
  <c r="P95" i="60"/>
  <c r="P94" i="60"/>
  <c r="P75" i="60"/>
  <c r="P74" i="60"/>
  <c r="P73" i="60"/>
  <c r="AV70" i="70" l="1"/>
  <c r="AR71" i="70"/>
  <c r="AP71" i="70"/>
  <c r="AQ71" i="70"/>
  <c r="AT70" i="71"/>
  <c r="AP71" i="71"/>
  <c r="AR71" i="71"/>
  <c r="AQ71" i="71"/>
  <c r="AN71" i="70"/>
  <c r="AL71" i="70"/>
  <c r="AM71" i="70"/>
  <c r="AL71" i="71"/>
  <c r="AM71" i="71"/>
  <c r="AN71" i="71"/>
  <c r="P139" i="60"/>
  <c r="Q138" i="60" s="1"/>
  <c r="P118" i="60"/>
  <c r="Q116" i="60" s="1"/>
  <c r="P97" i="60"/>
  <c r="Q95" i="60" s="1"/>
  <c r="P76" i="60"/>
  <c r="Q75" i="60" s="1"/>
  <c r="AA76" i="61"/>
  <c r="AB76" i="61"/>
  <c r="V70" i="70"/>
  <c r="W71" i="70" s="1"/>
  <c r="T71" i="70"/>
  <c r="R71" i="70"/>
  <c r="Z70" i="71"/>
  <c r="X70" i="71"/>
  <c r="V71" i="71" s="1"/>
  <c r="T71" i="71"/>
  <c r="S71" i="71"/>
  <c r="V71" i="70"/>
  <c r="X71" i="70"/>
  <c r="AA70" i="70"/>
  <c r="W94" i="69"/>
  <c r="X95" i="69" s="1"/>
  <c r="S95" i="69"/>
  <c r="R95" i="69"/>
  <c r="T95" i="69"/>
  <c r="AB94" i="69"/>
  <c r="V67" i="61"/>
  <c r="V75" i="61" s="1"/>
  <c r="AT71" i="71" l="1"/>
  <c r="AX70" i="71"/>
  <c r="AU71" i="71"/>
  <c r="AV71" i="71"/>
  <c r="AZ70" i="70"/>
  <c r="AV71" i="70"/>
  <c r="AU71" i="70"/>
  <c r="AT71" i="70"/>
  <c r="Q115" i="60"/>
  <c r="Q96" i="60"/>
  <c r="Q136" i="60"/>
  <c r="Q137" i="60"/>
  <c r="Q117" i="60"/>
  <c r="Q94" i="60"/>
  <c r="Q74" i="60"/>
  <c r="Q73" i="60"/>
  <c r="Z70" i="70"/>
  <c r="Z71" i="70" s="1"/>
  <c r="AB70" i="71"/>
  <c r="AB71" i="71" s="1"/>
  <c r="X71" i="71"/>
  <c r="W71" i="71"/>
  <c r="Z71" i="71"/>
  <c r="AA94" i="69"/>
  <c r="W95" i="69"/>
  <c r="V95" i="69"/>
  <c r="X67" i="61"/>
  <c r="W67" i="61"/>
  <c r="W75" i="61" s="1"/>
  <c r="Q97" i="60" l="1"/>
  <c r="Q76" i="60"/>
  <c r="AZ71" i="70"/>
  <c r="AY71" i="70"/>
  <c r="AX71" i="70"/>
  <c r="AX71" i="71"/>
  <c r="AZ71" i="71"/>
  <c r="AY71" i="71"/>
  <c r="Q118" i="60"/>
  <c r="Q139" i="60"/>
  <c r="X75" i="61"/>
  <c r="X76" i="61" s="1"/>
  <c r="AA71" i="70"/>
  <c r="AB71" i="70"/>
  <c r="AA71" i="71"/>
  <c r="AA95" i="69"/>
  <c r="Z95" i="69"/>
  <c r="AB95" i="69"/>
  <c r="X68" i="61"/>
  <c r="W68" i="61"/>
  <c r="V68" i="61"/>
  <c r="V76" i="61" l="1"/>
  <c r="W76" i="61"/>
  <c r="T67" i="61"/>
  <c r="T75" i="61" s="1"/>
  <c r="R67" i="61"/>
  <c r="S67" i="61"/>
  <c r="S75" i="61" s="1"/>
  <c r="R75" i="61" l="1"/>
  <c r="R76" i="61" s="1"/>
  <c r="T68" i="61"/>
  <c r="R68" i="61"/>
  <c r="S68" i="61"/>
  <c r="P67" i="61"/>
  <c r="P75" i="61" s="1"/>
  <c r="N67" i="61"/>
  <c r="O67" i="61"/>
  <c r="L67" i="61"/>
  <c r="L75" i="61" s="1"/>
  <c r="K67" i="61"/>
  <c r="K75" i="61" s="1"/>
  <c r="J67" i="61"/>
  <c r="J75" i="61" s="1"/>
  <c r="H70" i="61"/>
  <c r="G70" i="61"/>
  <c r="F70" i="61"/>
  <c r="T76" i="61" l="1"/>
  <c r="S76" i="61"/>
  <c r="O75" i="61"/>
  <c r="N75" i="61"/>
  <c r="J76" i="61"/>
  <c r="J78" i="61"/>
  <c r="K76" i="61"/>
  <c r="K78" i="61"/>
  <c r="L76" i="61"/>
  <c r="L78" i="61"/>
  <c r="K70" i="61"/>
  <c r="G71" i="61"/>
  <c r="J70" i="61"/>
  <c r="F71" i="61"/>
  <c r="L70" i="61"/>
  <c r="H71" i="61"/>
  <c r="N68" i="61"/>
  <c r="P68" i="61"/>
  <c r="O68" i="61"/>
  <c r="H68" i="61"/>
  <c r="F68" i="61"/>
  <c r="J68" i="61"/>
  <c r="G68" i="61"/>
  <c r="L68" i="61"/>
  <c r="K68" i="61"/>
  <c r="T30" i="60"/>
  <c r="T29" i="60"/>
  <c r="T31" i="60" l="1"/>
  <c r="N76" i="61"/>
  <c r="P76" i="61"/>
  <c r="O76" i="61"/>
  <c r="L79" i="61"/>
  <c r="P78" i="61"/>
  <c r="N78" i="61"/>
  <c r="J79" i="61"/>
  <c r="K79" i="61"/>
  <c r="O78" i="61"/>
  <c r="O70" i="61"/>
  <c r="K71" i="61"/>
  <c r="N70" i="61"/>
  <c r="J71" i="61"/>
  <c r="P70" i="61"/>
  <c r="L71" i="61"/>
  <c r="D220" i="60"/>
  <c r="D206" i="60"/>
  <c r="E206" i="60" s="1"/>
  <c r="F206" i="60" s="1"/>
  <c r="D205" i="60"/>
  <c r="E205" i="60" s="1"/>
  <c r="F205" i="60" s="1"/>
  <c r="D204" i="60"/>
  <c r="E204" i="60" s="1"/>
  <c r="D202" i="60"/>
  <c r="D211" i="60" s="1"/>
  <c r="G37" i="59" s="1"/>
  <c r="E202" i="60"/>
  <c r="E210" i="60" s="1"/>
  <c r="H26" i="59" s="1"/>
  <c r="N202" i="60"/>
  <c r="N211" i="60" s="1"/>
  <c r="M202" i="60"/>
  <c r="M211" i="60" s="1"/>
  <c r="L202" i="60"/>
  <c r="L211" i="60" s="1"/>
  <c r="K202" i="60"/>
  <c r="K209" i="60" s="1"/>
  <c r="J202" i="60"/>
  <c r="J209" i="60" s="1"/>
  <c r="I202" i="60"/>
  <c r="I210" i="60" s="1"/>
  <c r="L26" i="59" s="1"/>
  <c r="H202" i="60"/>
  <c r="H210" i="60" s="1"/>
  <c r="K26" i="59" s="1"/>
  <c r="G211" i="60"/>
  <c r="J37" i="59" s="1"/>
  <c r="F202" i="60"/>
  <c r="F211" i="60" s="1"/>
  <c r="I37" i="59" s="1"/>
  <c r="D62" i="60"/>
  <c r="D67" i="60" s="1"/>
  <c r="D61" i="60"/>
  <c r="D66" i="60" s="1"/>
  <c r="N62" i="60"/>
  <c r="M62" i="60"/>
  <c r="L62" i="60"/>
  <c r="K62" i="60"/>
  <c r="J62" i="60"/>
  <c r="I62" i="60"/>
  <c r="H62" i="60"/>
  <c r="G62" i="60"/>
  <c r="F62" i="60"/>
  <c r="E62" i="60"/>
  <c r="N61" i="60"/>
  <c r="M61" i="60"/>
  <c r="L61" i="60"/>
  <c r="K61" i="60"/>
  <c r="J61" i="60"/>
  <c r="I61" i="60"/>
  <c r="H61" i="60"/>
  <c r="G61" i="60"/>
  <c r="F61" i="60"/>
  <c r="E61" i="60"/>
  <c r="O62" i="60"/>
  <c r="O61" i="60"/>
  <c r="D57" i="60"/>
  <c r="D56" i="60"/>
  <c r="E56" i="60" s="1"/>
  <c r="F56" i="60" s="1"/>
  <c r="G56" i="60" s="1"/>
  <c r="H56" i="60" s="1"/>
  <c r="I56" i="60" s="1"/>
  <c r="J56" i="60" s="1"/>
  <c r="K56" i="60" s="1"/>
  <c r="L56" i="60" s="1"/>
  <c r="M56" i="60" s="1"/>
  <c r="N56" i="60" s="1"/>
  <c r="O56" i="60" s="1"/>
  <c r="O55" i="60"/>
  <c r="N55" i="60"/>
  <c r="M55" i="60"/>
  <c r="L55" i="60"/>
  <c r="K55" i="60"/>
  <c r="J55" i="60"/>
  <c r="M14" i="59" s="1"/>
  <c r="I55" i="60"/>
  <c r="L14" i="59" s="1"/>
  <c r="H55" i="60"/>
  <c r="K14" i="59" s="1"/>
  <c r="G55" i="60"/>
  <c r="J14" i="59" s="1"/>
  <c r="F55" i="60"/>
  <c r="I14" i="59" s="1"/>
  <c r="E55" i="60"/>
  <c r="H14" i="59" s="1"/>
  <c r="D55" i="60"/>
  <c r="G14" i="59" s="1"/>
  <c r="D47" i="60"/>
  <c r="G13" i="59" s="1"/>
  <c r="D49" i="60"/>
  <c r="D48" i="60"/>
  <c r="M210" i="60" l="1"/>
  <c r="K210" i="60"/>
  <c r="D209" i="60"/>
  <c r="D210" i="60"/>
  <c r="G26" i="59" s="1"/>
  <c r="L209" i="60"/>
  <c r="M209" i="60"/>
  <c r="M212" i="60" s="1"/>
  <c r="D207" i="60"/>
  <c r="D215" i="60" s="1"/>
  <c r="K63" i="60"/>
  <c r="F63" i="60"/>
  <c r="I15" i="59" s="1"/>
  <c r="O63" i="60"/>
  <c r="N63" i="60"/>
  <c r="K211" i="60"/>
  <c r="M63" i="60"/>
  <c r="L63" i="60"/>
  <c r="J210" i="60"/>
  <c r="M26" i="59" s="1"/>
  <c r="N79" i="61"/>
  <c r="R78" i="61"/>
  <c r="O79" i="61"/>
  <c r="S78" i="61"/>
  <c r="P79" i="61"/>
  <c r="T78" i="61"/>
  <c r="H211" i="60"/>
  <c r="K37" i="59" s="1"/>
  <c r="H63" i="60"/>
  <c r="K15" i="59" s="1"/>
  <c r="T70" i="61"/>
  <c r="P71" i="61"/>
  <c r="S70" i="61"/>
  <c r="O71" i="61"/>
  <c r="N71" i="61"/>
  <c r="R70" i="61"/>
  <c r="G63" i="60"/>
  <c r="J15" i="59" s="1"/>
  <c r="E66" i="60"/>
  <c r="E63" i="60"/>
  <c r="H15" i="59" s="1"/>
  <c r="E67" i="60"/>
  <c r="D58" i="60"/>
  <c r="D50" i="60"/>
  <c r="E207" i="60"/>
  <c r="E214" i="60" s="1"/>
  <c r="E211" i="60"/>
  <c r="H37" i="59" s="1"/>
  <c r="E209" i="60"/>
  <c r="E212" i="60" s="1"/>
  <c r="G205" i="60"/>
  <c r="G206" i="60"/>
  <c r="I211" i="60"/>
  <c r="L37" i="59" s="1"/>
  <c r="F204" i="60"/>
  <c r="F209" i="60"/>
  <c r="N209" i="60"/>
  <c r="N212" i="60" s="1"/>
  <c r="L210" i="60"/>
  <c r="J211" i="60"/>
  <c r="M37" i="59" s="1"/>
  <c r="E215" i="60"/>
  <c r="H209" i="60"/>
  <c r="F210" i="60"/>
  <c r="I26" i="59" s="1"/>
  <c r="N210" i="60"/>
  <c r="I209" i="60"/>
  <c r="G210" i="60"/>
  <c r="J26" i="59" s="1"/>
  <c r="G209" i="60"/>
  <c r="I63" i="60"/>
  <c r="L15" i="59" s="1"/>
  <c r="J63" i="60"/>
  <c r="M15" i="59" s="1"/>
  <c r="E57" i="60"/>
  <c r="E7" i="60"/>
  <c r="H8" i="59" s="1"/>
  <c r="D216" i="60" l="1"/>
  <c r="H212" i="60"/>
  <c r="L212" i="60"/>
  <c r="I212" i="60"/>
  <c r="G212" i="60"/>
  <c r="F212" i="60"/>
  <c r="D214" i="60"/>
  <c r="D212" i="60"/>
  <c r="K212" i="60"/>
  <c r="J212" i="60"/>
  <c r="X78" i="61"/>
  <c r="T79" i="61"/>
  <c r="S79" i="61"/>
  <c r="W78" i="61"/>
  <c r="R79" i="61"/>
  <c r="V78" i="61"/>
  <c r="W70" i="61"/>
  <c r="AA70" i="61" s="1"/>
  <c r="AE70" i="61" s="1"/>
  <c r="AI70" i="61" s="1"/>
  <c r="AM70" i="61" s="1"/>
  <c r="AQ70" i="61" s="1"/>
  <c r="S71" i="61"/>
  <c r="V70" i="61"/>
  <c r="Z70" i="61" s="1"/>
  <c r="AD70" i="61" s="1"/>
  <c r="AH70" i="61" s="1"/>
  <c r="AL70" i="61" s="1"/>
  <c r="AP70" i="61" s="1"/>
  <c r="R71" i="61"/>
  <c r="T71" i="61"/>
  <c r="X70" i="61"/>
  <c r="AB70" i="61" s="1"/>
  <c r="AF70" i="61" s="1"/>
  <c r="AJ70" i="61" s="1"/>
  <c r="AN70" i="61" s="1"/>
  <c r="AR70" i="61" s="1"/>
  <c r="D217" i="60"/>
  <c r="E216" i="60"/>
  <c r="E217" i="60" s="1"/>
  <c r="H205" i="60"/>
  <c r="G204" i="60"/>
  <c r="F207" i="60"/>
  <c r="F214" i="60" s="1"/>
  <c r="H206" i="60"/>
  <c r="E58" i="60"/>
  <c r="F57" i="60"/>
  <c r="O222" i="60"/>
  <c r="O221" i="60"/>
  <c r="O220" i="60"/>
  <c r="N222" i="60"/>
  <c r="N221" i="60"/>
  <c r="N220" i="60"/>
  <c r="M222" i="60"/>
  <c r="M221" i="60"/>
  <c r="L222" i="60"/>
  <c r="L221" i="60"/>
  <c r="L220" i="60"/>
  <c r="K222" i="60"/>
  <c r="J222" i="60"/>
  <c r="I222" i="60"/>
  <c r="H222" i="60"/>
  <c r="G222" i="60"/>
  <c r="F222" i="60"/>
  <c r="E222" i="60"/>
  <c r="K221" i="60"/>
  <c r="J221" i="60"/>
  <c r="I221" i="60"/>
  <c r="H221" i="60"/>
  <c r="G221" i="60"/>
  <c r="F221" i="60"/>
  <c r="E221" i="60"/>
  <c r="K220" i="60"/>
  <c r="J220" i="60"/>
  <c r="I220" i="60"/>
  <c r="H220" i="60"/>
  <c r="G220" i="60"/>
  <c r="F220" i="60"/>
  <c r="E220" i="60"/>
  <c r="D221" i="60"/>
  <c r="O202" i="60"/>
  <c r="O211" i="60" s="1"/>
  <c r="AR71" i="61" l="1"/>
  <c r="AV70" i="61"/>
  <c r="AT70" i="61"/>
  <c r="AP71" i="61"/>
  <c r="AU70" i="61"/>
  <c r="AQ71" i="61"/>
  <c r="AM71" i="61"/>
  <c r="AL71" i="61"/>
  <c r="AN71" i="61"/>
  <c r="AI71" i="61"/>
  <c r="AJ71" i="61"/>
  <c r="AH71" i="61"/>
  <c r="AF71" i="61"/>
  <c r="AE71" i="61"/>
  <c r="AD71" i="61"/>
  <c r="V79" i="61"/>
  <c r="Z78" i="61"/>
  <c r="AD78" i="61" s="1"/>
  <c r="AH78" i="61" s="1"/>
  <c r="AL78" i="61" s="1"/>
  <c r="AP78" i="61" s="1"/>
  <c r="W79" i="61"/>
  <c r="AA78" i="61"/>
  <c r="AE78" i="61" s="1"/>
  <c r="AI78" i="61" s="1"/>
  <c r="AM78" i="61" s="1"/>
  <c r="AQ78" i="61" s="1"/>
  <c r="X79" i="61"/>
  <c r="AB78" i="61"/>
  <c r="Z71" i="61"/>
  <c r="AB71" i="61"/>
  <c r="AA71" i="61"/>
  <c r="X71" i="61"/>
  <c r="V71" i="61"/>
  <c r="W71" i="61"/>
  <c r="I205" i="60"/>
  <c r="I206" i="60"/>
  <c r="G207" i="60"/>
  <c r="G214" i="60" s="1"/>
  <c r="H204" i="60"/>
  <c r="F215" i="60"/>
  <c r="F216" i="60"/>
  <c r="G57" i="60"/>
  <c r="F58" i="60"/>
  <c r="L223" i="60"/>
  <c r="L232" i="60" s="1"/>
  <c r="O223" i="60"/>
  <c r="O232" i="60" s="1"/>
  <c r="N223" i="60"/>
  <c r="N232" i="60" s="1"/>
  <c r="O210" i="60"/>
  <c r="O209" i="60"/>
  <c r="O212" i="60" s="1"/>
  <c r="AY70" i="61" l="1"/>
  <c r="AU71" i="61"/>
  <c r="AV71" i="61"/>
  <c r="AZ70" i="61"/>
  <c r="AU78" i="61"/>
  <c r="AX70" i="61"/>
  <c r="AX71" i="61" s="1"/>
  <c r="AT71" i="61"/>
  <c r="AT78" i="61"/>
  <c r="AX78" i="61" s="1"/>
  <c r="F217" i="60"/>
  <c r="AB79" i="61"/>
  <c r="AF78" i="61"/>
  <c r="AA79" i="61"/>
  <c r="Z79" i="61"/>
  <c r="I204" i="60"/>
  <c r="H207" i="60"/>
  <c r="J205" i="60"/>
  <c r="G216" i="60"/>
  <c r="G215" i="60"/>
  <c r="J206" i="60"/>
  <c r="H57" i="60"/>
  <c r="G58" i="60"/>
  <c r="L230" i="60"/>
  <c r="L231" i="60"/>
  <c r="O231" i="60"/>
  <c r="O230" i="60"/>
  <c r="N230" i="60"/>
  <c r="N231" i="60"/>
  <c r="G217" i="60" l="1"/>
  <c r="AY78" i="61"/>
  <c r="AZ71" i="61"/>
  <c r="AY71" i="61"/>
  <c r="AF79" i="61"/>
  <c r="AJ78" i="61"/>
  <c r="AN78" i="61" s="1"/>
  <c r="AR78" i="61" s="1"/>
  <c r="AD79" i="61"/>
  <c r="AE79" i="61"/>
  <c r="I207" i="60"/>
  <c r="J204" i="60"/>
  <c r="K206" i="60"/>
  <c r="K205" i="60"/>
  <c r="H216" i="60"/>
  <c r="H215" i="60"/>
  <c r="H214" i="60"/>
  <c r="I57" i="60"/>
  <c r="H58" i="60"/>
  <c r="L233" i="60"/>
  <c r="O233" i="60"/>
  <c r="N233" i="60"/>
  <c r="AV78" i="61" l="1"/>
  <c r="AR79" i="61"/>
  <c r="AP79" i="61"/>
  <c r="AQ79" i="61"/>
  <c r="AN79" i="61"/>
  <c r="AM79" i="61"/>
  <c r="AL79" i="61"/>
  <c r="AJ79" i="61"/>
  <c r="AH79" i="61"/>
  <c r="AI79" i="61"/>
  <c r="H217" i="60"/>
  <c r="K204" i="60"/>
  <c r="J207" i="60"/>
  <c r="I215" i="60"/>
  <c r="I216" i="60"/>
  <c r="L205" i="60"/>
  <c r="L206" i="60"/>
  <c r="I214" i="60"/>
  <c r="J57" i="60"/>
  <c r="I58" i="60"/>
  <c r="I217" i="60" l="1"/>
  <c r="AZ78" i="61"/>
  <c r="AV79" i="61"/>
  <c r="AT79" i="61"/>
  <c r="AU79" i="61"/>
  <c r="M205" i="60"/>
  <c r="J216" i="60"/>
  <c r="J215" i="60"/>
  <c r="J214" i="60"/>
  <c r="M206" i="60"/>
  <c r="K207" i="60"/>
  <c r="L204" i="60"/>
  <c r="J58" i="60"/>
  <c r="K57" i="60"/>
  <c r="J217" i="60" l="1"/>
  <c r="AZ79" i="61"/>
  <c r="AX79" i="61"/>
  <c r="AY79" i="61"/>
  <c r="K216" i="60"/>
  <c r="K215" i="60"/>
  <c r="K214" i="60"/>
  <c r="N206" i="60"/>
  <c r="L207" i="60"/>
  <c r="M204" i="60"/>
  <c r="N205" i="60"/>
  <c r="K58" i="60"/>
  <c r="L57" i="60"/>
  <c r="K217" i="60" l="1"/>
  <c r="M207" i="60"/>
  <c r="M214" i="60" s="1"/>
  <c r="N204" i="60"/>
  <c r="L215" i="60"/>
  <c r="L216" i="60"/>
  <c r="L214" i="60"/>
  <c r="L58" i="60"/>
  <c r="M57" i="60"/>
  <c r="O205" i="60"/>
  <c r="L217" i="60" l="1"/>
  <c r="N207" i="60"/>
  <c r="N214" i="60" s="1"/>
  <c r="M215" i="60"/>
  <c r="M216" i="60"/>
  <c r="M58" i="60"/>
  <c r="N57" i="60"/>
  <c r="O206" i="60"/>
  <c r="O204" i="60"/>
  <c r="M217" i="60" l="1"/>
  <c r="N215" i="60"/>
  <c r="N216" i="60"/>
  <c r="O57" i="60"/>
  <c r="O58" i="60" s="1"/>
  <c r="N58" i="60"/>
  <c r="O207" i="60"/>
  <c r="O215" i="60" s="1"/>
  <c r="N217" i="60" l="1"/>
  <c r="O216" i="60"/>
  <c r="O214" i="60"/>
  <c r="O217" i="60" l="1"/>
  <c r="U30" i="60" l="1"/>
  <c r="U29" i="60"/>
  <c r="U31" i="60" l="1"/>
  <c r="AE30" i="60"/>
  <c r="AD30" i="60"/>
  <c r="AE29" i="60"/>
  <c r="AD29" i="60"/>
  <c r="AE138" i="60"/>
  <c r="AD138" i="60"/>
  <c r="AE137" i="60"/>
  <c r="AD137" i="60"/>
  <c r="AE136" i="60"/>
  <c r="AD136" i="60"/>
  <c r="AC138" i="60" l="1"/>
  <c r="AB138" i="60"/>
  <c r="AA138" i="60"/>
  <c r="AC137" i="60"/>
  <c r="AB137" i="60"/>
  <c r="AA137" i="60"/>
  <c r="AB136" i="60"/>
  <c r="AA136" i="60"/>
  <c r="AC30" i="60" l="1"/>
  <c r="AC29" i="60"/>
  <c r="AB30" i="60"/>
  <c r="AB29" i="60"/>
  <c r="AA30" i="60"/>
  <c r="AA29" i="60"/>
  <c r="Z30" i="60"/>
  <c r="Z29" i="60"/>
  <c r="AC31" i="60" l="1"/>
  <c r="AB31" i="60"/>
  <c r="AA31" i="60"/>
  <c r="Z31" i="60"/>
  <c r="T136" i="60" l="1"/>
  <c r="Z138" i="60"/>
  <c r="Z137" i="60"/>
  <c r="Z136" i="60"/>
  <c r="Z139" i="60" l="1"/>
  <c r="Z148" i="60" s="1"/>
  <c r="Y138" i="60"/>
  <c r="X138" i="60"/>
  <c r="W138" i="60"/>
  <c r="V138" i="60"/>
  <c r="U138" i="60"/>
  <c r="T138" i="60"/>
  <c r="T143" i="60" s="1"/>
  <c r="Y137" i="60"/>
  <c r="X137" i="60"/>
  <c r="W137" i="60"/>
  <c r="V137" i="60"/>
  <c r="U137" i="60"/>
  <c r="T137" i="60"/>
  <c r="T142" i="60" s="1"/>
  <c r="Y136" i="60"/>
  <c r="X136" i="60"/>
  <c r="W136" i="60"/>
  <c r="V136" i="60"/>
  <c r="U136" i="60"/>
  <c r="T141" i="60"/>
  <c r="Y30" i="60"/>
  <c r="X30" i="60"/>
  <c r="W30" i="60"/>
  <c r="V30" i="60"/>
  <c r="T33" i="60"/>
  <c r="Y29" i="60"/>
  <c r="X29" i="60"/>
  <c r="W29" i="60"/>
  <c r="V29" i="60"/>
  <c r="T32" i="60"/>
  <c r="AE139" i="60"/>
  <c r="AE147" i="60" s="1"/>
  <c r="AD139" i="60"/>
  <c r="AD147" i="60" s="1"/>
  <c r="AB139" i="60"/>
  <c r="AB147" i="60" s="1"/>
  <c r="AA139" i="60"/>
  <c r="AA148" i="60" s="1"/>
  <c r="AE31" i="60"/>
  <c r="AD31" i="60"/>
  <c r="X31" i="60" l="1"/>
  <c r="V31" i="60"/>
  <c r="U32" i="60"/>
  <c r="U142" i="60"/>
  <c r="V142" i="60" s="1"/>
  <c r="V139" i="60"/>
  <c r="V147" i="60" s="1"/>
  <c r="W139" i="60"/>
  <c r="W147" i="60" s="1"/>
  <c r="Y139" i="60"/>
  <c r="Y148" i="60" s="1"/>
  <c r="U139" i="60"/>
  <c r="U147" i="60" s="1"/>
  <c r="Y31" i="60"/>
  <c r="U33" i="60"/>
  <c r="V33" i="60" s="1"/>
  <c r="W31" i="60"/>
  <c r="X139" i="60"/>
  <c r="X147" i="60" s="1"/>
  <c r="AB146" i="60"/>
  <c r="AB148" i="60"/>
  <c r="T139" i="60"/>
  <c r="V32" i="60"/>
  <c r="W32" i="60" s="1"/>
  <c r="X32" i="60" s="1"/>
  <c r="Y32" i="60" s="1"/>
  <c r="U141" i="60"/>
  <c r="U143" i="60"/>
  <c r="AD146" i="60"/>
  <c r="Z147" i="60"/>
  <c r="AD148" i="60"/>
  <c r="AE146" i="60"/>
  <c r="AA147" i="60"/>
  <c r="AE148" i="60"/>
  <c r="T144" i="60"/>
  <c r="T152" i="60" s="1"/>
  <c r="Z146" i="60"/>
  <c r="AA146" i="60"/>
  <c r="T34" i="60"/>
  <c r="Y146" i="60" l="1"/>
  <c r="Y147" i="60"/>
  <c r="W148" i="60"/>
  <c r="V146" i="60"/>
  <c r="V148" i="60"/>
  <c r="W146" i="60"/>
  <c r="U148" i="60"/>
  <c r="AA149" i="60"/>
  <c r="X148" i="60"/>
  <c r="X146" i="60"/>
  <c r="U146" i="60"/>
  <c r="AD149" i="60"/>
  <c r="AE149" i="60"/>
  <c r="U34" i="60"/>
  <c r="Z32" i="60"/>
  <c r="AA32" i="60" s="1"/>
  <c r="AB32" i="60" s="1"/>
  <c r="AC32" i="60" s="1"/>
  <c r="AD32" i="60" s="1"/>
  <c r="AE32" i="60" s="1"/>
  <c r="AB149" i="60"/>
  <c r="Z149" i="60"/>
  <c r="T151" i="60"/>
  <c r="T147" i="60"/>
  <c r="T148" i="60"/>
  <c r="T146" i="60"/>
  <c r="V149" i="60"/>
  <c r="V143" i="60"/>
  <c r="U144" i="60"/>
  <c r="U152" i="60" s="1"/>
  <c r="V141" i="60"/>
  <c r="T153" i="60"/>
  <c r="T154" i="60" s="1"/>
  <c r="W142" i="60"/>
  <c r="W33" i="60"/>
  <c r="V34" i="60"/>
  <c r="Y149" i="60" l="1"/>
  <c r="W149" i="60"/>
  <c r="U149" i="60"/>
  <c r="X149" i="60"/>
  <c r="T149" i="60"/>
  <c r="U151" i="60"/>
  <c r="W143" i="60"/>
  <c r="V144" i="60"/>
  <c r="V152" i="60" s="1"/>
  <c r="W141" i="60"/>
  <c r="U153" i="60"/>
  <c r="X142" i="60"/>
  <c r="W34" i="60"/>
  <c r="X33" i="60"/>
  <c r="U154" i="60" l="1"/>
  <c r="V153" i="60"/>
  <c r="V151" i="60"/>
  <c r="X143" i="60"/>
  <c r="W144" i="60"/>
  <c r="W152" i="60" s="1"/>
  <c r="X141" i="60"/>
  <c r="Y142" i="60"/>
  <c r="X34" i="60"/>
  <c r="Y33" i="60"/>
  <c r="Z33" i="60" s="1"/>
  <c r="V154" i="60" l="1"/>
  <c r="Z34" i="60"/>
  <c r="AA33" i="60"/>
  <c r="W153" i="60"/>
  <c r="W151" i="60"/>
  <c r="Y141" i="60"/>
  <c r="X144" i="60"/>
  <c r="X152" i="60" s="1"/>
  <c r="Y143" i="60"/>
  <c r="Z142" i="60"/>
  <c r="Y34" i="60"/>
  <c r="F47" i="60"/>
  <c r="I13" i="59" s="1"/>
  <c r="X153" i="60" l="1"/>
  <c r="AA34" i="60"/>
  <c r="AB33" i="60"/>
  <c r="Z143" i="60"/>
  <c r="X151" i="60"/>
  <c r="Z141" i="60"/>
  <c r="Y144" i="60"/>
  <c r="Y152" i="60" s="1"/>
  <c r="AA142" i="60"/>
  <c r="W154" i="60"/>
  <c r="X154" i="60" l="1"/>
  <c r="AB34" i="60"/>
  <c r="AC33" i="60"/>
  <c r="AC34" i="60" s="1"/>
  <c r="AA143" i="60"/>
  <c r="Y151" i="60"/>
  <c r="AB142" i="60"/>
  <c r="AA141" i="60"/>
  <c r="Z144" i="60"/>
  <c r="Z152" i="60" s="1"/>
  <c r="Y153" i="60"/>
  <c r="Y154" i="60" l="1"/>
  <c r="AA144" i="60"/>
  <c r="AA152" i="60" s="1"/>
  <c r="AB141" i="60"/>
  <c r="Z151" i="60"/>
  <c r="AC142" i="60"/>
  <c r="Z153" i="60"/>
  <c r="AB143" i="60"/>
  <c r="D33" i="60"/>
  <c r="D32" i="60"/>
  <c r="E32" i="60" s="1"/>
  <c r="F32" i="60" s="1"/>
  <c r="G32" i="60" s="1"/>
  <c r="H32" i="60" s="1"/>
  <c r="I32" i="60" s="1"/>
  <c r="J32" i="60" s="1"/>
  <c r="K32" i="60" s="1"/>
  <c r="L32" i="60" s="1"/>
  <c r="M32" i="60" s="1"/>
  <c r="N32" i="60" s="1"/>
  <c r="O32" i="60" s="1"/>
  <c r="D25" i="60"/>
  <c r="D24" i="60"/>
  <c r="E24" i="60" s="1"/>
  <c r="F24" i="60" s="1"/>
  <c r="G24" i="60" s="1"/>
  <c r="H24" i="60" s="1"/>
  <c r="I24" i="60" s="1"/>
  <c r="D17" i="60"/>
  <c r="D16" i="60"/>
  <c r="E16" i="60" s="1"/>
  <c r="D9" i="60"/>
  <c r="D8" i="60"/>
  <c r="E8" i="60" s="1"/>
  <c r="F8" i="60" s="1"/>
  <c r="G8" i="60" s="1"/>
  <c r="H8" i="60" s="1"/>
  <c r="I8" i="60" s="1"/>
  <c r="J8" i="60" s="1"/>
  <c r="K8" i="60" s="1"/>
  <c r="L8" i="60" s="1"/>
  <c r="M8" i="60" s="1"/>
  <c r="N8" i="60" s="1"/>
  <c r="O8" i="60" s="1"/>
  <c r="AA153" i="60" l="1"/>
  <c r="D26" i="60"/>
  <c r="D10" i="60"/>
  <c r="D34" i="60"/>
  <c r="E9" i="60"/>
  <c r="F9" i="60" s="1"/>
  <c r="G9" i="60" s="1"/>
  <c r="H9" i="60" s="1"/>
  <c r="H10" i="60" s="1"/>
  <c r="J24" i="60"/>
  <c r="K24" i="60" s="1"/>
  <c r="L24" i="60" s="1"/>
  <c r="M24" i="60" s="1"/>
  <c r="N24" i="60" s="1"/>
  <c r="O24" i="60" s="1"/>
  <c r="Z154" i="60"/>
  <c r="AB144" i="60"/>
  <c r="AB152" i="60" s="1"/>
  <c r="AD142" i="60"/>
  <c r="AC143" i="60"/>
  <c r="AA151" i="60"/>
  <c r="AD33" i="60"/>
  <c r="D18" i="60"/>
  <c r="F16" i="60"/>
  <c r="G16" i="60" s="1"/>
  <c r="H16" i="60" s="1"/>
  <c r="I16" i="60" s="1"/>
  <c r="J16" i="60" s="1"/>
  <c r="K16" i="60" s="1"/>
  <c r="L16" i="60" s="1"/>
  <c r="M16" i="60" s="1"/>
  <c r="N16" i="60" s="1"/>
  <c r="O16" i="60" s="1"/>
  <c r="E33" i="60"/>
  <c r="E25" i="60"/>
  <c r="E17" i="60"/>
  <c r="F17" i="60" s="1"/>
  <c r="AA154" i="60" l="1"/>
  <c r="F10" i="60"/>
  <c r="E10" i="60"/>
  <c r="AB153" i="60"/>
  <c r="F18" i="60"/>
  <c r="AB151" i="60"/>
  <c r="AD143" i="60"/>
  <c r="AE142" i="60"/>
  <c r="AE33" i="60"/>
  <c r="AE34" i="60" s="1"/>
  <c r="AD34" i="60"/>
  <c r="G10" i="60"/>
  <c r="I9" i="60"/>
  <c r="I10" i="60" s="1"/>
  <c r="E34" i="60"/>
  <c r="F33" i="60"/>
  <c r="E26" i="60"/>
  <c r="F25" i="60"/>
  <c r="E18" i="60"/>
  <c r="AB154" i="60" l="1"/>
  <c r="AE143" i="60"/>
  <c r="J9" i="60"/>
  <c r="K9" i="60" s="1"/>
  <c r="K10" i="60" s="1"/>
  <c r="F34" i="60"/>
  <c r="G33" i="60"/>
  <c r="G25" i="60"/>
  <c r="F26" i="60"/>
  <c r="G17" i="60"/>
  <c r="J10" i="60" l="1"/>
  <c r="G34" i="60"/>
  <c r="H33" i="60"/>
  <c r="H25" i="60"/>
  <c r="G26" i="60"/>
  <c r="H17" i="60"/>
  <c r="G18" i="60"/>
  <c r="L9" i="60"/>
  <c r="I33" i="60" l="1"/>
  <c r="H34" i="60"/>
  <c r="I25" i="60"/>
  <c r="H26" i="60"/>
  <c r="I17" i="60"/>
  <c r="H18" i="60"/>
  <c r="M9" i="60"/>
  <c r="L10" i="60"/>
  <c r="J33" i="60" l="1"/>
  <c r="I34" i="60"/>
  <c r="J25" i="60"/>
  <c r="J26" i="60" s="1"/>
  <c r="I26" i="60"/>
  <c r="I18" i="60"/>
  <c r="J17" i="60"/>
  <c r="J18" i="60" s="1"/>
  <c r="M10" i="60"/>
  <c r="N9" i="60"/>
  <c r="K33" i="60" l="1"/>
  <c r="J34" i="60"/>
  <c r="K25" i="60"/>
  <c r="K26" i="60" s="1"/>
  <c r="K17" i="60"/>
  <c r="N10" i="60"/>
  <c r="O9" i="60"/>
  <c r="O10" i="60" s="1"/>
  <c r="L33" i="60" l="1"/>
  <c r="K34" i="60"/>
  <c r="L25" i="60"/>
  <c r="K18" i="60"/>
  <c r="L17" i="60"/>
  <c r="M33" i="60" l="1"/>
  <c r="L34" i="60"/>
  <c r="L26" i="60"/>
  <c r="M25" i="60"/>
  <c r="L18" i="60"/>
  <c r="M17" i="60"/>
  <c r="M34" i="60" l="1"/>
  <c r="N33" i="60"/>
  <c r="M26" i="60"/>
  <c r="N25" i="60"/>
  <c r="M18" i="60"/>
  <c r="N17" i="60"/>
  <c r="N34" i="60" l="1"/>
  <c r="O33" i="60"/>
  <c r="O34" i="60" s="1"/>
  <c r="O25" i="60"/>
  <c r="O26" i="60" s="1"/>
  <c r="N26" i="60"/>
  <c r="O17" i="60"/>
  <c r="O18" i="60" s="1"/>
  <c r="N18" i="60"/>
  <c r="D227" i="60" l="1"/>
  <c r="D226" i="60"/>
  <c r="K223" i="60"/>
  <c r="J223" i="60"/>
  <c r="J230" i="60" s="1"/>
  <c r="I223" i="60"/>
  <c r="H223" i="60"/>
  <c r="H232" i="60" s="1"/>
  <c r="K38" i="59" s="1"/>
  <c r="G223" i="60"/>
  <c r="G231" i="60" s="1"/>
  <c r="J27" i="59" s="1"/>
  <c r="F223" i="60"/>
  <c r="F231" i="60" s="1"/>
  <c r="I27" i="59" s="1"/>
  <c r="E223" i="60"/>
  <c r="E231" i="60" s="1"/>
  <c r="H27" i="59" s="1"/>
  <c r="D185" i="60"/>
  <c r="E185" i="60" s="1"/>
  <c r="D184" i="60"/>
  <c r="D183" i="60"/>
  <c r="E183" i="60" s="1"/>
  <c r="F183" i="60" s="1"/>
  <c r="O181" i="60"/>
  <c r="O190" i="60" s="1"/>
  <c r="N181" i="60"/>
  <c r="N189" i="60" s="1"/>
  <c r="M181" i="60"/>
  <c r="M188" i="60" s="1"/>
  <c r="L181" i="60"/>
  <c r="L188" i="60" s="1"/>
  <c r="K181" i="60"/>
  <c r="K189" i="60" s="1"/>
  <c r="J181" i="60"/>
  <c r="J190" i="60" s="1"/>
  <c r="M36" i="59" s="1"/>
  <c r="I181" i="60"/>
  <c r="I190" i="60" s="1"/>
  <c r="L36" i="59" s="1"/>
  <c r="H181" i="60"/>
  <c r="H190" i="60" s="1"/>
  <c r="K36" i="59" s="1"/>
  <c r="G181" i="60"/>
  <c r="G188" i="60" s="1"/>
  <c r="F181" i="60"/>
  <c r="F189" i="60" s="1"/>
  <c r="I25" i="59" s="1"/>
  <c r="E181" i="60"/>
  <c r="E189" i="60" s="1"/>
  <c r="H25" i="59" s="1"/>
  <c r="D181" i="60"/>
  <c r="D189" i="60" s="1"/>
  <c r="G25" i="59" s="1"/>
  <c r="D164" i="60"/>
  <c r="E164" i="60" s="1"/>
  <c r="F164" i="60" s="1"/>
  <c r="G164" i="60" s="1"/>
  <c r="H164" i="60" s="1"/>
  <c r="D163" i="60"/>
  <c r="E163" i="60" s="1"/>
  <c r="F163" i="60" s="1"/>
  <c r="G163" i="60" s="1"/>
  <c r="H163" i="60" s="1"/>
  <c r="I163" i="60" s="1"/>
  <c r="J163" i="60" s="1"/>
  <c r="D162" i="60"/>
  <c r="E162" i="60" s="1"/>
  <c r="F162" i="60" s="1"/>
  <c r="G162" i="60" s="1"/>
  <c r="O160" i="60"/>
  <c r="O169" i="60" s="1"/>
  <c r="N160" i="60"/>
  <c r="N167" i="60" s="1"/>
  <c r="M160" i="60"/>
  <c r="L160" i="60"/>
  <c r="K160" i="60"/>
  <c r="K169" i="60" s="1"/>
  <c r="J160" i="60"/>
  <c r="J169" i="60" s="1"/>
  <c r="M35" i="59" s="1"/>
  <c r="I160" i="60"/>
  <c r="I169" i="60" s="1"/>
  <c r="L35" i="59" s="1"/>
  <c r="H160" i="60"/>
  <c r="H169" i="60" s="1"/>
  <c r="K35" i="59" s="1"/>
  <c r="G160" i="60"/>
  <c r="F160" i="60"/>
  <c r="F169" i="60" s="1"/>
  <c r="I35" i="59" s="1"/>
  <c r="E160" i="60"/>
  <c r="D160" i="60"/>
  <c r="D167" i="60" s="1"/>
  <c r="D143" i="60"/>
  <c r="E143" i="60" s="1"/>
  <c r="F143" i="60" s="1"/>
  <c r="G143" i="60" s="1"/>
  <c r="H143" i="60" s="1"/>
  <c r="I143" i="60" s="1"/>
  <c r="J143" i="60" s="1"/>
  <c r="D142" i="60"/>
  <c r="E142" i="60" s="1"/>
  <c r="F142" i="60" s="1"/>
  <c r="G142" i="60" s="1"/>
  <c r="D141" i="60"/>
  <c r="O139" i="60"/>
  <c r="O147" i="60" s="1"/>
  <c r="N139" i="60"/>
  <c r="N148" i="60" s="1"/>
  <c r="M139" i="60"/>
  <c r="M148" i="60" s="1"/>
  <c r="L139" i="60"/>
  <c r="L147" i="60" s="1"/>
  <c r="K139" i="60"/>
  <c r="K148" i="60" s="1"/>
  <c r="J139" i="60"/>
  <c r="I139" i="60"/>
  <c r="I146" i="60" s="1"/>
  <c r="H139" i="60"/>
  <c r="H146" i="60" s="1"/>
  <c r="G139" i="60"/>
  <c r="G147" i="60" s="1"/>
  <c r="J23" i="59" s="1"/>
  <c r="F139" i="60"/>
  <c r="F147" i="60" s="1"/>
  <c r="I23" i="59" s="1"/>
  <c r="E139" i="60"/>
  <c r="E146" i="60" s="1"/>
  <c r="D139" i="60"/>
  <c r="D147" i="60" s="1"/>
  <c r="G23" i="59" s="1"/>
  <c r="D122" i="60"/>
  <c r="D121" i="60"/>
  <c r="D120" i="60"/>
  <c r="E120" i="60" s="1"/>
  <c r="O118" i="60"/>
  <c r="O126" i="60" s="1"/>
  <c r="N118" i="60"/>
  <c r="M118" i="60"/>
  <c r="L118" i="60"/>
  <c r="L127" i="60" s="1"/>
  <c r="K118" i="60"/>
  <c r="J118" i="60"/>
  <c r="J126" i="60" s="1"/>
  <c r="M22" i="59" s="1"/>
  <c r="I118" i="60"/>
  <c r="I125" i="60" s="1"/>
  <c r="H118" i="60"/>
  <c r="H126" i="60" s="1"/>
  <c r="K22" i="59" s="1"/>
  <c r="G118" i="60"/>
  <c r="G126" i="60" s="1"/>
  <c r="J22" i="59" s="1"/>
  <c r="F118" i="60"/>
  <c r="E118" i="60"/>
  <c r="E127" i="60" s="1"/>
  <c r="H33" i="59" s="1"/>
  <c r="D118" i="60"/>
  <c r="D125" i="60" s="1"/>
  <c r="D101" i="60"/>
  <c r="E101" i="60" s="1"/>
  <c r="F101" i="60" s="1"/>
  <c r="G101" i="60" s="1"/>
  <c r="H101" i="60" s="1"/>
  <c r="I101" i="60" s="1"/>
  <c r="J101" i="60" s="1"/>
  <c r="D100" i="60"/>
  <c r="D99" i="60"/>
  <c r="E99" i="60" s="1"/>
  <c r="F99" i="60" s="1"/>
  <c r="G99" i="60" s="1"/>
  <c r="O97" i="60"/>
  <c r="O104" i="60" s="1"/>
  <c r="N97" i="60"/>
  <c r="M97" i="60"/>
  <c r="L97" i="60"/>
  <c r="L106" i="60" s="1"/>
  <c r="K97" i="60"/>
  <c r="K106" i="60" s="1"/>
  <c r="J97" i="60"/>
  <c r="J104" i="60" s="1"/>
  <c r="I97" i="60"/>
  <c r="H97" i="60"/>
  <c r="H104" i="60" s="1"/>
  <c r="G97" i="60"/>
  <c r="G104" i="60" s="1"/>
  <c r="F97" i="60"/>
  <c r="F104" i="60" s="1"/>
  <c r="E97" i="60"/>
  <c r="E104" i="60" s="1"/>
  <c r="D97" i="60"/>
  <c r="D106" i="60" s="1"/>
  <c r="G32" i="59" s="1"/>
  <c r="D80" i="60"/>
  <c r="D79" i="60"/>
  <c r="E79" i="60" s="1"/>
  <c r="D78" i="60"/>
  <c r="E78" i="60" s="1"/>
  <c r="F78" i="60" s="1"/>
  <c r="O76" i="60"/>
  <c r="O85" i="60" s="1"/>
  <c r="N76" i="60"/>
  <c r="L76" i="60"/>
  <c r="L84" i="60" s="1"/>
  <c r="K76" i="60"/>
  <c r="K85" i="60" s="1"/>
  <c r="J76" i="60"/>
  <c r="I76" i="60"/>
  <c r="I84" i="60" s="1"/>
  <c r="L20" i="59" s="1"/>
  <c r="H76" i="60"/>
  <c r="G76" i="60"/>
  <c r="G84" i="60" s="1"/>
  <c r="J20" i="59" s="1"/>
  <c r="F76" i="60"/>
  <c r="F83" i="60" s="1"/>
  <c r="E76" i="60"/>
  <c r="D76" i="60"/>
  <c r="D83" i="60" s="1"/>
  <c r="H167" i="60"/>
  <c r="D41" i="60"/>
  <c r="D40" i="60"/>
  <c r="E40" i="60" s="1"/>
  <c r="F40" i="60" s="1"/>
  <c r="G40" i="60" s="1"/>
  <c r="H40" i="60" s="1"/>
  <c r="I40" i="60" s="1"/>
  <c r="J40" i="60" s="1"/>
  <c r="K40" i="60" s="1"/>
  <c r="L40" i="60" s="1"/>
  <c r="M40" i="60" s="1"/>
  <c r="N40" i="60" s="1"/>
  <c r="O40" i="60" s="1"/>
  <c r="E48" i="60"/>
  <c r="F48" i="60" s="1"/>
  <c r="G48" i="60" s="1"/>
  <c r="H48" i="60" s="1"/>
  <c r="I48" i="60" s="1"/>
  <c r="J48" i="60" s="1"/>
  <c r="K48" i="60" s="1"/>
  <c r="L48" i="60" s="1"/>
  <c r="M48" i="60" s="1"/>
  <c r="N48" i="60" s="1"/>
  <c r="O48" i="60" s="1"/>
  <c r="D7" i="60"/>
  <c r="G8" i="59" s="1"/>
  <c r="O47" i="60"/>
  <c r="N47" i="60"/>
  <c r="M47" i="60"/>
  <c r="L47" i="60"/>
  <c r="K47" i="60"/>
  <c r="M13" i="59"/>
  <c r="I47" i="60"/>
  <c r="L13" i="59" s="1"/>
  <c r="H47" i="60"/>
  <c r="K13" i="59" s="1"/>
  <c r="G47" i="60"/>
  <c r="J13" i="59" s="1"/>
  <c r="E47" i="60"/>
  <c r="H13" i="59" s="1"/>
  <c r="O39" i="60"/>
  <c r="N39" i="60"/>
  <c r="M39" i="60"/>
  <c r="L39" i="60"/>
  <c r="K39" i="60"/>
  <c r="J39" i="60"/>
  <c r="M12" i="59" s="1"/>
  <c r="I39" i="60"/>
  <c r="L12" i="59" s="1"/>
  <c r="H39" i="60"/>
  <c r="K12" i="59" s="1"/>
  <c r="G39" i="60"/>
  <c r="J12" i="59" s="1"/>
  <c r="F39" i="60"/>
  <c r="I12" i="59" s="1"/>
  <c r="E39" i="60"/>
  <c r="H12" i="59" s="1"/>
  <c r="O31" i="60"/>
  <c r="N31" i="60"/>
  <c r="M31" i="60"/>
  <c r="L31" i="60"/>
  <c r="K31" i="60"/>
  <c r="J31" i="60"/>
  <c r="M11" i="59" s="1"/>
  <c r="I31" i="60"/>
  <c r="L11" i="59" s="1"/>
  <c r="H31" i="60"/>
  <c r="K11" i="59" s="1"/>
  <c r="G31" i="60"/>
  <c r="J11" i="59" s="1"/>
  <c r="F31" i="60"/>
  <c r="I11" i="59" s="1"/>
  <c r="E31" i="60"/>
  <c r="H11" i="59" s="1"/>
  <c r="D31" i="60"/>
  <c r="G11" i="59" s="1"/>
  <c r="O23" i="60"/>
  <c r="N23" i="60"/>
  <c r="M23" i="60"/>
  <c r="L23" i="60"/>
  <c r="K23" i="60"/>
  <c r="J23" i="60"/>
  <c r="M10" i="59" s="1"/>
  <c r="I23" i="60"/>
  <c r="L10" i="59" s="1"/>
  <c r="H23" i="60"/>
  <c r="K10" i="59" s="1"/>
  <c r="G23" i="60"/>
  <c r="J10" i="59" s="1"/>
  <c r="F23" i="60"/>
  <c r="I10" i="59" s="1"/>
  <c r="E23" i="60"/>
  <c r="H10" i="59" s="1"/>
  <c r="D23" i="60"/>
  <c r="G10" i="59" s="1"/>
  <c r="O15" i="60"/>
  <c r="N15" i="60"/>
  <c r="L15" i="60"/>
  <c r="K15" i="60"/>
  <c r="J15" i="60"/>
  <c r="M9" i="59" s="1"/>
  <c r="I15" i="60"/>
  <c r="L9" i="59" s="1"/>
  <c r="H15" i="60"/>
  <c r="K9" i="59" s="1"/>
  <c r="G15" i="60"/>
  <c r="J9" i="59" s="1"/>
  <c r="F15" i="60"/>
  <c r="I9" i="59" s="1"/>
  <c r="E15" i="60"/>
  <c r="H9" i="59" s="1"/>
  <c r="D15" i="60"/>
  <c r="G9" i="59" s="1"/>
  <c r="O7" i="60"/>
  <c r="N7" i="60"/>
  <c r="M7" i="60"/>
  <c r="L7" i="60"/>
  <c r="K7" i="60"/>
  <c r="J7" i="60"/>
  <c r="M8" i="59" s="1"/>
  <c r="I7" i="60"/>
  <c r="L8" i="59" s="1"/>
  <c r="H7" i="60"/>
  <c r="K8" i="59" s="1"/>
  <c r="G7" i="60"/>
  <c r="J8" i="59" s="1"/>
  <c r="F7" i="60"/>
  <c r="I8" i="59" s="1"/>
  <c r="D190" i="60" l="1"/>
  <c r="G36" i="59" s="1"/>
  <c r="D188" i="60"/>
  <c r="N190" i="60"/>
  <c r="H168" i="60"/>
  <c r="K24" i="59" s="1"/>
  <c r="M190" i="60"/>
  <c r="E226" i="60"/>
  <c r="F226" i="60" s="1"/>
  <c r="G226" i="60" s="1"/>
  <c r="H231" i="60"/>
  <c r="K27" i="59" s="1"/>
  <c r="O188" i="60"/>
  <c r="N125" i="60"/>
  <c r="N106" i="60"/>
  <c r="N84" i="60"/>
  <c r="L146" i="60"/>
  <c r="D105" i="60"/>
  <c r="G21" i="59" s="1"/>
  <c r="N188" i="60"/>
  <c r="N191" i="60" s="1"/>
  <c r="M147" i="60"/>
  <c r="M127" i="60"/>
  <c r="M106" i="60"/>
  <c r="F167" i="60"/>
  <c r="F188" i="60"/>
  <c r="F190" i="60"/>
  <c r="I36" i="59" s="1"/>
  <c r="F168" i="60"/>
  <c r="I24" i="59" s="1"/>
  <c r="H189" i="60"/>
  <c r="K25" i="59" s="1"/>
  <c r="G190" i="60"/>
  <c r="J36" i="59" s="1"/>
  <c r="M146" i="60"/>
  <c r="J231" i="60"/>
  <c r="M27" i="59" s="1"/>
  <c r="L148" i="60"/>
  <c r="K146" i="60"/>
  <c r="K147" i="60"/>
  <c r="I83" i="60"/>
  <c r="I85" i="60"/>
  <c r="L31" i="59" s="1"/>
  <c r="H188" i="60"/>
  <c r="H191" i="60" s="1"/>
  <c r="G146" i="60"/>
  <c r="O146" i="60"/>
  <c r="O148" i="60"/>
  <c r="D126" i="60"/>
  <c r="G22" i="59" s="1"/>
  <c r="D168" i="60"/>
  <c r="G24" i="59" s="1"/>
  <c r="D104" i="60"/>
  <c r="D107" i="60" s="1"/>
  <c r="N147" i="60"/>
  <c r="N146" i="60"/>
  <c r="N126" i="60"/>
  <c r="O106" i="60"/>
  <c r="N104" i="60"/>
  <c r="M104" i="60"/>
  <c r="M189" i="60"/>
  <c r="J232" i="60"/>
  <c r="M38" i="59" s="1"/>
  <c r="J189" i="60"/>
  <c r="M25" i="59" s="1"/>
  <c r="J188" i="60"/>
  <c r="J168" i="60"/>
  <c r="M24" i="59" s="1"/>
  <c r="L125" i="60"/>
  <c r="L105" i="60"/>
  <c r="K84" i="60"/>
  <c r="L85" i="60"/>
  <c r="L83" i="60"/>
  <c r="J125" i="60"/>
  <c r="J127" i="60"/>
  <c r="M33" i="59" s="1"/>
  <c r="I126" i="60"/>
  <c r="L22" i="59" s="1"/>
  <c r="I127" i="60"/>
  <c r="L33" i="59" s="1"/>
  <c r="K104" i="60"/>
  <c r="K105" i="60"/>
  <c r="K83" i="60"/>
  <c r="H230" i="60"/>
  <c r="H170" i="60"/>
  <c r="D191" i="60"/>
  <c r="D84" i="60"/>
  <c r="G20" i="59" s="1"/>
  <c r="J167" i="60"/>
  <c r="L189" i="60"/>
  <c r="L190" i="60"/>
  <c r="D85" i="60"/>
  <c r="G31" i="59" s="1"/>
  <c r="O105" i="60"/>
  <c r="L104" i="60"/>
  <c r="H125" i="60"/>
  <c r="N127" i="60"/>
  <c r="O83" i="60"/>
  <c r="M105" i="60"/>
  <c r="E49" i="60"/>
  <c r="D146" i="60"/>
  <c r="F230" i="60"/>
  <c r="N105" i="60"/>
  <c r="I148" i="60"/>
  <c r="L34" i="59" s="1"/>
  <c r="O84" i="60"/>
  <c r="D148" i="60"/>
  <c r="G34" i="59" s="1"/>
  <c r="L126" i="60"/>
  <c r="K188" i="60"/>
  <c r="D42" i="60"/>
  <c r="E41" i="60"/>
  <c r="D127" i="60"/>
  <c r="G33" i="59" s="1"/>
  <c r="K190" i="60"/>
  <c r="O189" i="60"/>
  <c r="H127" i="60"/>
  <c r="K33" i="59" s="1"/>
  <c r="I147" i="60"/>
  <c r="L23" i="59" s="1"/>
  <c r="G189" i="60"/>
  <c r="J25" i="59" s="1"/>
  <c r="F232" i="60"/>
  <c r="I38" i="59" s="1"/>
  <c r="F84" i="60"/>
  <c r="I20" i="59" s="1"/>
  <c r="F85" i="60"/>
  <c r="I31" i="59" s="1"/>
  <c r="E165" i="60"/>
  <c r="E174" i="60" s="1"/>
  <c r="G148" i="60"/>
  <c r="J34" i="59" s="1"/>
  <c r="F146" i="60"/>
  <c r="F148" i="60"/>
  <c r="I34" i="59" s="1"/>
  <c r="E126" i="60"/>
  <c r="H22" i="59" s="1"/>
  <c r="E125" i="60"/>
  <c r="G106" i="60"/>
  <c r="J32" i="59" s="1"/>
  <c r="G105" i="60"/>
  <c r="J21" i="59" s="1"/>
  <c r="E230" i="60"/>
  <c r="E232" i="60"/>
  <c r="H38" i="59" s="1"/>
  <c r="E85" i="60"/>
  <c r="H31" i="59" s="1"/>
  <c r="E84" i="60"/>
  <c r="H20" i="59" s="1"/>
  <c r="E83" i="60"/>
  <c r="H83" i="60"/>
  <c r="H85" i="60"/>
  <c r="K31" i="59" s="1"/>
  <c r="H84" i="60"/>
  <c r="K20" i="59" s="1"/>
  <c r="D39" i="60"/>
  <c r="G12" i="59" s="1"/>
  <c r="G165" i="60"/>
  <c r="H162" i="60"/>
  <c r="J148" i="60"/>
  <c r="M34" i="59" s="1"/>
  <c r="J147" i="60"/>
  <c r="M23" i="59" s="1"/>
  <c r="J146" i="60"/>
  <c r="E141" i="60"/>
  <c r="D144" i="60"/>
  <c r="D151" i="60" s="1"/>
  <c r="I231" i="60"/>
  <c r="L27" i="59" s="1"/>
  <c r="I230" i="60"/>
  <c r="I232" i="60"/>
  <c r="L38" i="59" s="1"/>
  <c r="E227" i="60"/>
  <c r="H142" i="60"/>
  <c r="F165" i="60"/>
  <c r="F172" i="60" s="1"/>
  <c r="F127" i="60"/>
  <c r="I33" i="59" s="1"/>
  <c r="F126" i="60"/>
  <c r="I22" i="59" s="1"/>
  <c r="F125" i="60"/>
  <c r="F185" i="60"/>
  <c r="G230" i="60"/>
  <c r="G232" i="60"/>
  <c r="J38" i="59" s="1"/>
  <c r="E122" i="60"/>
  <c r="D123" i="60"/>
  <c r="D131" i="60" s="1"/>
  <c r="F67" i="60"/>
  <c r="G67" i="60" s="1"/>
  <c r="H67" i="60" s="1"/>
  <c r="I67" i="60" s="1"/>
  <c r="J67" i="60" s="1"/>
  <c r="K67" i="60" s="1"/>
  <c r="L67" i="60" s="1"/>
  <c r="M67" i="60" s="1"/>
  <c r="N67" i="60" s="1"/>
  <c r="O67" i="60" s="1"/>
  <c r="K163" i="60"/>
  <c r="K101" i="60"/>
  <c r="G85" i="60"/>
  <c r="J31" i="59" s="1"/>
  <c r="G83" i="60"/>
  <c r="J84" i="60"/>
  <c r="M20" i="59" s="1"/>
  <c r="J83" i="60"/>
  <c r="J85" i="60"/>
  <c r="M31" i="59" s="1"/>
  <c r="G169" i="60"/>
  <c r="J35" i="59" s="1"/>
  <c r="G168" i="60"/>
  <c r="J24" i="59" s="1"/>
  <c r="G167" i="60"/>
  <c r="M168" i="60"/>
  <c r="M167" i="60"/>
  <c r="M169" i="60"/>
  <c r="K143" i="60"/>
  <c r="H99" i="60"/>
  <c r="E100" i="60"/>
  <c r="D102" i="60"/>
  <c r="D110" i="60" s="1"/>
  <c r="G127" i="60"/>
  <c r="J33" i="59" s="1"/>
  <c r="G125" i="60"/>
  <c r="M126" i="60"/>
  <c r="M125" i="60"/>
  <c r="F120" i="60"/>
  <c r="L167" i="60"/>
  <c r="L168" i="60"/>
  <c r="D165" i="60"/>
  <c r="D172" i="60" s="1"/>
  <c r="L169" i="60"/>
  <c r="E188" i="60"/>
  <c r="E190" i="60"/>
  <c r="H36" i="59" s="1"/>
  <c r="I189" i="60"/>
  <c r="L25" i="59" s="1"/>
  <c r="I188" i="60"/>
  <c r="N83" i="60"/>
  <c r="N85" i="60"/>
  <c r="D81" i="60"/>
  <c r="E80" i="60"/>
  <c r="E106" i="60"/>
  <c r="H32" i="59" s="1"/>
  <c r="E105" i="60"/>
  <c r="H21" i="59" s="1"/>
  <c r="H106" i="60"/>
  <c r="K32" i="59" s="1"/>
  <c r="H105" i="60"/>
  <c r="K21" i="59" s="1"/>
  <c r="K126" i="60"/>
  <c r="K125" i="60"/>
  <c r="N169" i="60"/>
  <c r="N168" i="60"/>
  <c r="I164" i="60"/>
  <c r="G78" i="60"/>
  <c r="G183" i="60"/>
  <c r="K127" i="60"/>
  <c r="D169" i="60"/>
  <c r="G35" i="59" s="1"/>
  <c r="I104" i="60"/>
  <c r="I105" i="60"/>
  <c r="L21" i="59" s="1"/>
  <c r="I106" i="60"/>
  <c r="L32" i="59" s="1"/>
  <c r="E121" i="60"/>
  <c r="E147" i="60"/>
  <c r="H23" i="59" s="1"/>
  <c r="E148" i="60"/>
  <c r="H34" i="59" s="1"/>
  <c r="E168" i="60"/>
  <c r="H24" i="59" s="1"/>
  <c r="E167" i="60"/>
  <c r="E169" i="60"/>
  <c r="H35" i="59" s="1"/>
  <c r="E184" i="60"/>
  <c r="E186" i="60" s="1"/>
  <c r="D186" i="60"/>
  <c r="K231" i="60"/>
  <c r="K230" i="60"/>
  <c r="K232" i="60"/>
  <c r="F79" i="60"/>
  <c r="J106" i="60"/>
  <c r="M32" i="59" s="1"/>
  <c r="J105" i="60"/>
  <c r="M21" i="59" s="1"/>
  <c r="O127" i="60"/>
  <c r="O125" i="60"/>
  <c r="H147" i="60"/>
  <c r="K23" i="59" s="1"/>
  <c r="H148" i="60"/>
  <c r="K34" i="59" s="1"/>
  <c r="I167" i="60"/>
  <c r="I168" i="60"/>
  <c r="L24" i="59" s="1"/>
  <c r="O168" i="60"/>
  <c r="O167" i="60"/>
  <c r="O170" i="60" s="1"/>
  <c r="F105" i="60"/>
  <c r="I21" i="59" s="1"/>
  <c r="F106" i="60"/>
  <c r="I32" i="59" s="1"/>
  <c r="K167" i="60"/>
  <c r="K168" i="60"/>
  <c r="D225" i="60"/>
  <c r="D223" i="60"/>
  <c r="I191" i="60" l="1"/>
  <c r="M149" i="60"/>
  <c r="H233" i="60"/>
  <c r="F191" i="60"/>
  <c r="F170" i="60"/>
  <c r="D230" i="60"/>
  <c r="D231" i="60"/>
  <c r="G27" i="59" s="1"/>
  <c r="D232" i="60"/>
  <c r="G38" i="59" s="1"/>
  <c r="F66" i="60"/>
  <c r="E68" i="60"/>
  <c r="H16" i="59" s="1"/>
  <c r="L149" i="60"/>
  <c r="E172" i="60"/>
  <c r="E173" i="60"/>
  <c r="I86" i="60"/>
  <c r="K149" i="60"/>
  <c r="G170" i="60"/>
  <c r="E191" i="60"/>
  <c r="N128" i="60"/>
  <c r="O107" i="60"/>
  <c r="O191" i="60"/>
  <c r="O149" i="60"/>
  <c r="O86" i="60"/>
  <c r="J149" i="60"/>
  <c r="J170" i="60"/>
  <c r="D128" i="60"/>
  <c r="D86" i="60"/>
  <c r="M191" i="60"/>
  <c r="I170" i="60"/>
  <c r="K233" i="60"/>
  <c r="N86" i="60"/>
  <c r="J191" i="60"/>
  <c r="M128" i="60"/>
  <c r="N170" i="60"/>
  <c r="G128" i="60"/>
  <c r="M170" i="60"/>
  <c r="K191" i="60"/>
  <c r="D149" i="60"/>
  <c r="K107" i="60"/>
  <c r="N149" i="60"/>
  <c r="N107" i="60"/>
  <c r="O128" i="60"/>
  <c r="M107" i="60"/>
  <c r="L191" i="60"/>
  <c r="L170" i="60"/>
  <c r="L107" i="60"/>
  <c r="L86" i="60"/>
  <c r="K86" i="60"/>
  <c r="K170" i="60"/>
  <c r="J233" i="60"/>
  <c r="L128" i="60"/>
  <c r="J107" i="60"/>
  <c r="J86" i="60"/>
  <c r="I149" i="60"/>
  <c r="J128" i="60"/>
  <c r="I128" i="60"/>
  <c r="K128" i="60"/>
  <c r="I107" i="60"/>
  <c r="I233" i="60"/>
  <c r="H149" i="60"/>
  <c r="H128" i="60"/>
  <c r="H107" i="60"/>
  <c r="H86" i="60"/>
  <c r="E42" i="60"/>
  <c r="F41" i="60"/>
  <c r="F86" i="60"/>
  <c r="F107" i="60"/>
  <c r="F128" i="60"/>
  <c r="F49" i="60"/>
  <c r="E50" i="60"/>
  <c r="E86" i="60"/>
  <c r="E128" i="60"/>
  <c r="F233" i="60"/>
  <c r="G191" i="60"/>
  <c r="G149" i="60"/>
  <c r="G107" i="60"/>
  <c r="G86" i="60"/>
  <c r="G233" i="60"/>
  <c r="E170" i="60"/>
  <c r="E149" i="60"/>
  <c r="F149" i="60"/>
  <c r="E123" i="60"/>
  <c r="E130" i="60" s="1"/>
  <c r="E107" i="60"/>
  <c r="E233" i="60"/>
  <c r="E193" i="60"/>
  <c r="E195" i="60"/>
  <c r="H226" i="60"/>
  <c r="G173" i="60"/>
  <c r="G172" i="60"/>
  <c r="H78" i="60"/>
  <c r="G174" i="60"/>
  <c r="F80" i="60"/>
  <c r="E81" i="60"/>
  <c r="E90" i="60" s="1"/>
  <c r="D109" i="60"/>
  <c r="D111" i="60"/>
  <c r="L101" i="60"/>
  <c r="I142" i="60"/>
  <c r="F227" i="60"/>
  <c r="D153" i="60"/>
  <c r="D152" i="60"/>
  <c r="E194" i="60"/>
  <c r="F184" i="60"/>
  <c r="H183" i="60"/>
  <c r="D89" i="60"/>
  <c r="D88" i="60"/>
  <c r="D90" i="60"/>
  <c r="D174" i="60"/>
  <c r="D173" i="60"/>
  <c r="F100" i="60"/>
  <c r="E102" i="60"/>
  <c r="E110" i="60" s="1"/>
  <c r="D130" i="60"/>
  <c r="D132" i="60"/>
  <c r="G185" i="60"/>
  <c r="I99" i="60"/>
  <c r="D63" i="60"/>
  <c r="G15" i="59" s="1"/>
  <c r="G79" i="60"/>
  <c r="D170" i="60"/>
  <c r="D228" i="60"/>
  <c r="E225" i="60"/>
  <c r="D193" i="60"/>
  <c r="D194" i="60"/>
  <c r="F121" i="60"/>
  <c r="J164" i="60"/>
  <c r="D195" i="60"/>
  <c r="G120" i="60"/>
  <c r="L143" i="60"/>
  <c r="L163" i="60"/>
  <c r="F122" i="60"/>
  <c r="F173" i="60"/>
  <c r="F174" i="60"/>
  <c r="F141" i="60"/>
  <c r="E144" i="60"/>
  <c r="E151" i="60" s="1"/>
  <c r="H165" i="60"/>
  <c r="H172" i="60" s="1"/>
  <c r="I162" i="60"/>
  <c r="E175" i="60" l="1"/>
  <c r="D233" i="60"/>
  <c r="D236" i="60"/>
  <c r="G28" i="59" s="1"/>
  <c r="D237" i="60"/>
  <c r="D235" i="60"/>
  <c r="G66" i="60"/>
  <c r="F68" i="60"/>
  <c r="I16" i="59" s="1"/>
  <c r="E131" i="60"/>
  <c r="D175" i="60"/>
  <c r="F175" i="60"/>
  <c r="E132" i="60"/>
  <c r="D154" i="60"/>
  <c r="F50" i="60"/>
  <c r="G49" i="60"/>
  <c r="F42" i="60"/>
  <c r="G41" i="60"/>
  <c r="D91" i="60"/>
  <c r="G227" i="60"/>
  <c r="I226" i="60"/>
  <c r="M143" i="60"/>
  <c r="G121" i="60"/>
  <c r="I183" i="60"/>
  <c r="I78" i="60"/>
  <c r="M163" i="60"/>
  <c r="K164" i="60"/>
  <c r="D133" i="60"/>
  <c r="G184" i="60"/>
  <c r="F186" i="60"/>
  <c r="D196" i="60"/>
  <c r="D68" i="60"/>
  <c r="G16" i="59" s="1"/>
  <c r="H185" i="60"/>
  <c r="E111" i="60"/>
  <c r="E109" i="60"/>
  <c r="E196" i="60"/>
  <c r="H173" i="60"/>
  <c r="H174" i="60"/>
  <c r="G122" i="60"/>
  <c r="G39" i="59"/>
  <c r="J99" i="60"/>
  <c r="M101" i="60"/>
  <c r="E89" i="60"/>
  <c r="E88" i="60"/>
  <c r="F123" i="60"/>
  <c r="F130" i="60" s="1"/>
  <c r="G80" i="60"/>
  <c r="E152" i="60"/>
  <c r="E153" i="60"/>
  <c r="I165" i="60"/>
  <c r="J162" i="60"/>
  <c r="F144" i="60"/>
  <c r="G141" i="60"/>
  <c r="H120" i="60"/>
  <c r="F225" i="60"/>
  <c r="E228" i="60"/>
  <c r="E235" i="60" s="1"/>
  <c r="H79" i="60"/>
  <c r="F102" i="60"/>
  <c r="G100" i="60"/>
  <c r="J142" i="60"/>
  <c r="D112" i="60"/>
  <c r="G175" i="60"/>
  <c r="F81" i="60"/>
  <c r="D238" i="60" l="1"/>
  <c r="H66" i="60"/>
  <c r="G68" i="60"/>
  <c r="J16" i="59" s="1"/>
  <c r="E133" i="60"/>
  <c r="G42" i="60"/>
  <c r="H41" i="60"/>
  <c r="G50" i="60"/>
  <c r="H49" i="60"/>
  <c r="H175" i="60"/>
  <c r="E154" i="60"/>
  <c r="F132" i="60"/>
  <c r="G123" i="60"/>
  <c r="G130" i="60" s="1"/>
  <c r="E112" i="60"/>
  <c r="K142" i="60"/>
  <c r="F109" i="60"/>
  <c r="F111" i="60"/>
  <c r="I79" i="60"/>
  <c r="F152" i="60"/>
  <c r="F153" i="60"/>
  <c r="I173" i="60"/>
  <c r="I174" i="60"/>
  <c r="H80" i="60"/>
  <c r="G81" i="60"/>
  <c r="N101" i="60"/>
  <c r="K99" i="60"/>
  <c r="H122" i="60"/>
  <c r="F193" i="60"/>
  <c r="F195" i="60"/>
  <c r="L164" i="60"/>
  <c r="N143" i="60"/>
  <c r="F88" i="60"/>
  <c r="F89" i="60"/>
  <c r="F110" i="60"/>
  <c r="E236" i="60"/>
  <c r="H28" i="59" s="1"/>
  <c r="E237" i="60"/>
  <c r="H39" i="59" s="1"/>
  <c r="I120" i="60"/>
  <c r="F151" i="60"/>
  <c r="H184" i="60"/>
  <c r="G186" i="60"/>
  <c r="H121" i="60"/>
  <c r="H227" i="60"/>
  <c r="G225" i="60"/>
  <c r="F228" i="60"/>
  <c r="F235" i="60" s="1"/>
  <c r="J165" i="60"/>
  <c r="J172" i="60" s="1"/>
  <c r="K162" i="60"/>
  <c r="E91" i="60"/>
  <c r="I185" i="60"/>
  <c r="N163" i="60"/>
  <c r="J183" i="60"/>
  <c r="F131" i="60"/>
  <c r="J226" i="60"/>
  <c r="H100" i="60"/>
  <c r="G102" i="60"/>
  <c r="G144" i="60"/>
  <c r="G151" i="60" s="1"/>
  <c r="H141" i="60"/>
  <c r="I172" i="60"/>
  <c r="F90" i="60"/>
  <c r="F194" i="60"/>
  <c r="J78" i="60"/>
  <c r="F133" i="60" l="1"/>
  <c r="I66" i="60"/>
  <c r="H68" i="60"/>
  <c r="K16" i="59" s="1"/>
  <c r="I49" i="60"/>
  <c r="H50" i="60"/>
  <c r="H42" i="60"/>
  <c r="I41" i="60"/>
  <c r="F154" i="60"/>
  <c r="E238" i="60"/>
  <c r="I175" i="60"/>
  <c r="G131" i="60"/>
  <c r="G132" i="60"/>
  <c r="F91" i="60"/>
  <c r="I121" i="60"/>
  <c r="I184" i="60"/>
  <c r="H186" i="60"/>
  <c r="H194" i="60" s="1"/>
  <c r="M164" i="60"/>
  <c r="I122" i="60"/>
  <c r="I80" i="60"/>
  <c r="F112" i="60"/>
  <c r="K226" i="60"/>
  <c r="L226" i="60" s="1"/>
  <c r="M226" i="60" s="1"/>
  <c r="N226" i="60" s="1"/>
  <c r="G111" i="60"/>
  <c r="G109" i="60"/>
  <c r="K183" i="60"/>
  <c r="J185" i="60"/>
  <c r="J173" i="60"/>
  <c r="J174" i="60"/>
  <c r="I227" i="60"/>
  <c r="H81" i="60"/>
  <c r="H90" i="60" s="1"/>
  <c r="O143" i="60"/>
  <c r="O101" i="60"/>
  <c r="L142" i="60"/>
  <c r="I100" i="60"/>
  <c r="H102" i="60"/>
  <c r="H110" i="60" s="1"/>
  <c r="H123" i="60"/>
  <c r="H130" i="60" s="1"/>
  <c r="F196" i="60"/>
  <c r="L99" i="60"/>
  <c r="G88" i="60"/>
  <c r="G89" i="60"/>
  <c r="J79" i="60"/>
  <c r="H144" i="60"/>
  <c r="H151" i="60" s="1"/>
  <c r="I141" i="60"/>
  <c r="O163" i="60"/>
  <c r="F236" i="60"/>
  <c r="I28" i="59" s="1"/>
  <c r="F237" i="60"/>
  <c r="I39" i="59" s="1"/>
  <c r="G193" i="60"/>
  <c r="G195" i="60"/>
  <c r="K78" i="60"/>
  <c r="G153" i="60"/>
  <c r="G152" i="60"/>
  <c r="G110" i="60"/>
  <c r="K165" i="60"/>
  <c r="K172" i="60" s="1"/>
  <c r="L162" i="60"/>
  <c r="H225" i="60"/>
  <c r="G228" i="60"/>
  <c r="G194" i="60"/>
  <c r="J120" i="60"/>
  <c r="G90" i="60"/>
  <c r="J66" i="60" l="1"/>
  <c r="I68" i="60"/>
  <c r="L16" i="59" s="1"/>
  <c r="O226" i="60"/>
  <c r="G133" i="60"/>
  <c r="I123" i="60"/>
  <c r="I130" i="60" s="1"/>
  <c r="J41" i="60"/>
  <c r="I42" i="60"/>
  <c r="J49" i="60"/>
  <c r="I50" i="60"/>
  <c r="J175" i="60"/>
  <c r="G196" i="60"/>
  <c r="G154" i="60"/>
  <c r="F238" i="60"/>
  <c r="K120" i="60"/>
  <c r="I225" i="60"/>
  <c r="H228" i="60"/>
  <c r="H235" i="60" s="1"/>
  <c r="J141" i="60"/>
  <c r="I144" i="60"/>
  <c r="I151" i="60" s="1"/>
  <c r="K79" i="60"/>
  <c r="M99" i="60"/>
  <c r="J227" i="60"/>
  <c r="K185" i="60"/>
  <c r="J80" i="60"/>
  <c r="I81" i="60"/>
  <c r="N164" i="60"/>
  <c r="J184" i="60"/>
  <c r="I186" i="60"/>
  <c r="I194" i="60" s="1"/>
  <c r="L78" i="60"/>
  <c r="G112" i="60"/>
  <c r="J121" i="60"/>
  <c r="G236" i="60"/>
  <c r="J28" i="59" s="1"/>
  <c r="G237" i="60"/>
  <c r="J39" i="59" s="1"/>
  <c r="M162" i="60"/>
  <c r="L165" i="60"/>
  <c r="G235" i="60"/>
  <c r="K173" i="60"/>
  <c r="K174" i="60"/>
  <c r="H153" i="60"/>
  <c r="H152" i="60"/>
  <c r="G91" i="60"/>
  <c r="H111" i="60"/>
  <c r="H109" i="60"/>
  <c r="M142" i="60"/>
  <c r="L183" i="60"/>
  <c r="H132" i="60"/>
  <c r="H193" i="60"/>
  <c r="H195" i="60"/>
  <c r="H131" i="60"/>
  <c r="J100" i="60"/>
  <c r="I102" i="60"/>
  <c r="I110" i="60" s="1"/>
  <c r="H88" i="60"/>
  <c r="H89" i="60"/>
  <c r="J122" i="60"/>
  <c r="K66" i="60" l="1"/>
  <c r="J68" i="60"/>
  <c r="M16" i="59" s="1"/>
  <c r="I131" i="60"/>
  <c r="I132" i="60"/>
  <c r="H133" i="60"/>
  <c r="G238" i="60"/>
  <c r="K49" i="60"/>
  <c r="J50" i="60"/>
  <c r="J42" i="60"/>
  <c r="K41" i="60"/>
  <c r="K175" i="60"/>
  <c r="H154" i="60"/>
  <c r="K122" i="60"/>
  <c r="O164" i="60"/>
  <c r="K80" i="60"/>
  <c r="J81" i="60"/>
  <c r="K141" i="60"/>
  <c r="J144" i="60"/>
  <c r="J151" i="60" s="1"/>
  <c r="L173" i="60"/>
  <c r="L174" i="60"/>
  <c r="I111" i="60"/>
  <c r="I109" i="60"/>
  <c r="M165" i="60"/>
  <c r="M172" i="60" s="1"/>
  <c r="N162" i="60"/>
  <c r="K121" i="60"/>
  <c r="I193" i="60"/>
  <c r="I195" i="60"/>
  <c r="N99" i="60"/>
  <c r="L79" i="60"/>
  <c r="L120" i="60"/>
  <c r="N142" i="60"/>
  <c r="I88" i="60"/>
  <c r="I89" i="60"/>
  <c r="L185" i="60"/>
  <c r="H236" i="60"/>
  <c r="K28" i="59" s="1"/>
  <c r="H237" i="60"/>
  <c r="K39" i="59" s="1"/>
  <c r="J123" i="60"/>
  <c r="J130" i="60" s="1"/>
  <c r="M183" i="60"/>
  <c r="H91" i="60"/>
  <c r="K100" i="60"/>
  <c r="J102" i="60"/>
  <c r="H196" i="60"/>
  <c r="H112" i="60"/>
  <c r="L172" i="60"/>
  <c r="K184" i="60"/>
  <c r="J186" i="60"/>
  <c r="I90" i="60"/>
  <c r="K227" i="60"/>
  <c r="L227" i="60" s="1"/>
  <c r="M227" i="60" s="1"/>
  <c r="I153" i="60"/>
  <c r="I152" i="60"/>
  <c r="I228" i="60"/>
  <c r="I235" i="60" s="1"/>
  <c r="J225" i="60"/>
  <c r="L175" i="60" l="1"/>
  <c r="L66" i="60"/>
  <c r="K68" i="60"/>
  <c r="N227" i="60"/>
  <c r="I133" i="60"/>
  <c r="K123" i="60"/>
  <c r="K130" i="60" s="1"/>
  <c r="L41" i="60"/>
  <c r="K42" i="60"/>
  <c r="I154" i="60"/>
  <c r="K50" i="60"/>
  <c r="L49" i="60"/>
  <c r="H238" i="60"/>
  <c r="K225" i="60"/>
  <c r="L225" i="60" s="1"/>
  <c r="J228" i="60"/>
  <c r="J193" i="60"/>
  <c r="J195" i="60"/>
  <c r="J111" i="60"/>
  <c r="J109" i="60"/>
  <c r="N183" i="60"/>
  <c r="M79" i="60"/>
  <c r="L121" i="60"/>
  <c r="J88" i="60"/>
  <c r="J89" i="60"/>
  <c r="I236" i="60"/>
  <c r="L28" i="59" s="1"/>
  <c r="I237" i="60"/>
  <c r="L39" i="59" s="1"/>
  <c r="J194" i="60"/>
  <c r="J110" i="60"/>
  <c r="M120" i="60"/>
  <c r="I196" i="60"/>
  <c r="J131" i="60"/>
  <c r="I112" i="60"/>
  <c r="J153" i="60"/>
  <c r="J152" i="60"/>
  <c r="J90" i="60"/>
  <c r="J132" i="60"/>
  <c r="L184" i="60"/>
  <c r="K186" i="60"/>
  <c r="K194" i="60" s="1"/>
  <c r="L100" i="60"/>
  <c r="K102" i="60"/>
  <c r="K110" i="60" s="1"/>
  <c r="I91" i="60"/>
  <c r="O162" i="60"/>
  <c r="N165" i="60"/>
  <c r="K144" i="60"/>
  <c r="K151" i="60" s="1"/>
  <c r="L141" i="60"/>
  <c r="L80" i="60"/>
  <c r="K81" i="60"/>
  <c r="K90" i="60" s="1"/>
  <c r="L122" i="60"/>
  <c r="M185" i="60"/>
  <c r="O142" i="60"/>
  <c r="O99" i="60"/>
  <c r="M173" i="60"/>
  <c r="M174" i="60"/>
  <c r="M66" i="60" l="1"/>
  <c r="L68" i="60"/>
  <c r="L228" i="60"/>
  <c r="O227" i="60"/>
  <c r="K132" i="60"/>
  <c r="K131" i="60"/>
  <c r="I238" i="60"/>
  <c r="L50" i="60"/>
  <c r="M49" i="60"/>
  <c r="J133" i="60"/>
  <c r="L42" i="60"/>
  <c r="M41" i="60"/>
  <c r="M175" i="60"/>
  <c r="J154" i="60"/>
  <c r="J91" i="60"/>
  <c r="M141" i="60"/>
  <c r="L144" i="60"/>
  <c r="L151" i="60" s="1"/>
  <c r="N173" i="60"/>
  <c r="N174" i="60"/>
  <c r="J112" i="60"/>
  <c r="J236" i="60"/>
  <c r="M28" i="59" s="1"/>
  <c r="J237" i="60"/>
  <c r="M39" i="59" s="1"/>
  <c r="M122" i="60"/>
  <c r="K88" i="60"/>
  <c r="K89" i="60"/>
  <c r="K153" i="60"/>
  <c r="K152" i="60"/>
  <c r="O165" i="60"/>
  <c r="O172" i="60" s="1"/>
  <c r="M100" i="60"/>
  <c r="L102" i="60"/>
  <c r="L110" i="60" s="1"/>
  <c r="M121" i="60"/>
  <c r="O183" i="60"/>
  <c r="K228" i="60"/>
  <c r="K235" i="60" s="1"/>
  <c r="K193" i="60"/>
  <c r="K195" i="60"/>
  <c r="N120" i="60"/>
  <c r="J235" i="60"/>
  <c r="N185" i="60"/>
  <c r="M80" i="60"/>
  <c r="L81" i="60"/>
  <c r="L90" i="60" s="1"/>
  <c r="N172" i="60"/>
  <c r="K111" i="60"/>
  <c r="K109" i="60"/>
  <c r="M184" i="60"/>
  <c r="L186" i="60"/>
  <c r="L123" i="60"/>
  <c r="L130" i="60" s="1"/>
  <c r="N79" i="60"/>
  <c r="J196" i="60"/>
  <c r="K112" i="60" l="1"/>
  <c r="N66" i="60"/>
  <c r="M68" i="60"/>
  <c r="K133" i="60"/>
  <c r="M123" i="60"/>
  <c r="M130" i="60" s="1"/>
  <c r="K154" i="60"/>
  <c r="M42" i="60"/>
  <c r="N41" i="60"/>
  <c r="N49" i="60"/>
  <c r="M50" i="60"/>
  <c r="K196" i="60"/>
  <c r="N175" i="60"/>
  <c r="J238" i="60"/>
  <c r="L131" i="60"/>
  <c r="N184" i="60"/>
  <c r="M186" i="60"/>
  <c r="M194" i="60" s="1"/>
  <c r="O185" i="60"/>
  <c r="O120" i="60"/>
  <c r="N121" i="60"/>
  <c r="L132" i="60"/>
  <c r="O79" i="60"/>
  <c r="L193" i="60"/>
  <c r="L195" i="60"/>
  <c r="L194" i="60"/>
  <c r="L88" i="60"/>
  <c r="L89" i="60"/>
  <c r="L111" i="60"/>
  <c r="L109" i="60"/>
  <c r="O173" i="60"/>
  <c r="O174" i="60"/>
  <c r="K91" i="60"/>
  <c r="N122" i="60"/>
  <c r="L153" i="60"/>
  <c r="L152" i="60"/>
  <c r="N80" i="60"/>
  <c r="K236" i="60"/>
  <c r="K237" i="60"/>
  <c r="N100" i="60"/>
  <c r="M102" i="60"/>
  <c r="M144" i="60"/>
  <c r="N141" i="60"/>
  <c r="L154" i="60" l="1"/>
  <c r="O66" i="60"/>
  <c r="O68" i="60" s="1"/>
  <c r="N68" i="60"/>
  <c r="M131" i="60"/>
  <c r="M132" i="60"/>
  <c r="O49" i="60"/>
  <c r="O50" i="60" s="1"/>
  <c r="N50" i="60"/>
  <c r="N42" i="60"/>
  <c r="O41" i="60"/>
  <c r="O42" i="60" s="1"/>
  <c r="O175" i="60"/>
  <c r="L133" i="60"/>
  <c r="L91" i="60"/>
  <c r="K238" i="60"/>
  <c r="O100" i="60"/>
  <c r="N102" i="60"/>
  <c r="N110" i="60" s="1"/>
  <c r="M193" i="60"/>
  <c r="M195" i="60"/>
  <c r="M153" i="60"/>
  <c r="M152" i="60"/>
  <c r="O121" i="60"/>
  <c r="N123" i="60"/>
  <c r="N130" i="60" s="1"/>
  <c r="O184" i="60"/>
  <c r="N186" i="60"/>
  <c r="O122" i="60"/>
  <c r="L236" i="60"/>
  <c r="L237" i="60"/>
  <c r="M151" i="60"/>
  <c r="M111" i="60"/>
  <c r="M109" i="60"/>
  <c r="O141" i="60"/>
  <c r="N144" i="60"/>
  <c r="N151" i="60" s="1"/>
  <c r="M110" i="60"/>
  <c r="O80" i="60"/>
  <c r="L112" i="60"/>
  <c r="L196" i="60"/>
  <c r="L235" i="60"/>
  <c r="M133" i="60" l="1"/>
  <c r="M154" i="60"/>
  <c r="L238" i="60"/>
  <c r="N193" i="60"/>
  <c r="N195" i="60"/>
  <c r="O102" i="60"/>
  <c r="M112" i="60"/>
  <c r="N194" i="60"/>
  <c r="N131" i="60"/>
  <c r="M196" i="60"/>
  <c r="O144" i="60"/>
  <c r="N153" i="60"/>
  <c r="N152" i="60"/>
  <c r="N132" i="60"/>
  <c r="O186" i="60"/>
  <c r="O194" i="60" s="1"/>
  <c r="O123" i="60"/>
  <c r="O130" i="60" s="1"/>
  <c r="N111" i="60"/>
  <c r="N109" i="60"/>
  <c r="N154" i="60" l="1"/>
  <c r="N112" i="60"/>
  <c r="N133" i="60"/>
  <c r="O111" i="60"/>
  <c r="O109" i="60"/>
  <c r="O131" i="60"/>
  <c r="O110" i="60"/>
  <c r="O153" i="60"/>
  <c r="O152" i="60"/>
  <c r="N196" i="60"/>
  <c r="O193" i="60"/>
  <c r="O195" i="60"/>
  <c r="O151" i="60"/>
  <c r="O132" i="60"/>
  <c r="O154" i="60" l="1"/>
  <c r="O133" i="60"/>
  <c r="O112" i="60"/>
  <c r="O196" i="60"/>
  <c r="M78" i="60"/>
  <c r="M81" i="60" s="1"/>
  <c r="AC136" i="60"/>
  <c r="AC141" i="60" s="1"/>
  <c r="M220" i="60"/>
  <c r="M76" i="60"/>
  <c r="M85" i="60" s="1"/>
  <c r="N78" i="60" l="1"/>
  <c r="N81" i="60" s="1"/>
  <c r="N89" i="60" s="1"/>
  <c r="AC139" i="60"/>
  <c r="AC148" i="60" s="1"/>
  <c r="AC144" i="60"/>
  <c r="AC153" i="60" s="1"/>
  <c r="M83" i="60"/>
  <c r="M84" i="60"/>
  <c r="AD141" i="60"/>
  <c r="M90" i="60"/>
  <c r="M89" i="60"/>
  <c r="M88" i="60"/>
  <c r="M223" i="60"/>
  <c r="M230" i="60" s="1"/>
  <c r="M225" i="60"/>
  <c r="O78" i="60" l="1"/>
  <c r="O81" i="60" s="1"/>
  <c r="O89" i="60" s="1"/>
  <c r="N90" i="60"/>
  <c r="N88" i="60"/>
  <c r="M91" i="60"/>
  <c r="AC146" i="60"/>
  <c r="AC147" i="60"/>
  <c r="AC152" i="60"/>
  <c r="M86" i="60"/>
  <c r="AC151" i="60"/>
  <c r="AD144" i="60"/>
  <c r="AE141" i="60"/>
  <c r="M228" i="60"/>
  <c r="M235" i="60" s="1"/>
  <c r="N225" i="60"/>
  <c r="M232" i="60"/>
  <c r="M231" i="60"/>
  <c r="AC149" i="60" l="1"/>
  <c r="O90" i="60"/>
  <c r="O88" i="60"/>
  <c r="AC154" i="60"/>
  <c r="N91" i="60"/>
  <c r="M233" i="60"/>
  <c r="AE144" i="60"/>
  <c r="AE151" i="60" s="1"/>
  <c r="AD152" i="60"/>
  <c r="AD151" i="60"/>
  <c r="AD153" i="60"/>
  <c r="N228" i="60"/>
  <c r="N235" i="60" s="1"/>
  <c r="O225" i="60"/>
  <c r="M237" i="60"/>
  <c r="M236" i="60"/>
  <c r="O91" i="60" l="1"/>
  <c r="AD154" i="60"/>
  <c r="AE153" i="60"/>
  <c r="AE152" i="60"/>
  <c r="O228" i="60"/>
  <c r="N236" i="60"/>
  <c r="N237" i="60"/>
  <c r="M238" i="60"/>
  <c r="AE154" i="60" l="1"/>
  <c r="O236" i="60"/>
  <c r="O237" i="60"/>
  <c r="O235" i="60"/>
  <c r="N238" i="60"/>
  <c r="O238" i="60" l="1"/>
</calcChain>
</file>

<file path=xl/sharedStrings.xml><?xml version="1.0" encoding="utf-8"?>
<sst xmlns="http://schemas.openxmlformats.org/spreadsheetml/2006/main" count="1824" uniqueCount="677">
  <si>
    <t>PT INTI PANTJA PRESS INDUSTRI</t>
  </si>
  <si>
    <t>CONTROL ITEM</t>
  </si>
  <si>
    <t>DESCRIPTION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</si>
  <si>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</si>
  <si>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</si>
  <si>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</si>
  <si>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</si>
  <si>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</si>
  <si>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</si>
  <si>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</si>
  <si>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</si>
  <si>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</si>
  <si>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</si>
  <si>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</si>
  <si>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</si>
  <si>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2. Quality</t>
  </si>
  <si>
    <t>Monthly</t>
  </si>
  <si>
    <t>Ytd</t>
  </si>
  <si>
    <t>1. Productivity</t>
  </si>
  <si>
    <t>a. Press A</t>
  </si>
  <si>
    <t>b. Press B</t>
  </si>
  <si>
    <t>c. Press C</t>
  </si>
  <si>
    <t>d. Press D</t>
  </si>
  <si>
    <t>a. Repair Rate Press A</t>
  </si>
  <si>
    <t>b. Repair Rate Press B</t>
  </si>
  <si>
    <t>c. Repair Rate Press C</t>
  </si>
  <si>
    <t>d. Repair Rate Press D</t>
  </si>
  <si>
    <t>a. Reject Rate Press A</t>
  </si>
  <si>
    <t>b. Reject Rate Press B</t>
  </si>
  <si>
    <t>c. Reject Rate Press C</t>
  </si>
  <si>
    <t>d. Reject Rate Press D</t>
  </si>
  <si>
    <t>1. GSPH</t>
  </si>
  <si>
    <t>1. Repair Rate Press Line</t>
  </si>
  <si>
    <t>2. Reject Rate Press Line</t>
  </si>
  <si>
    <t>TARGET</t>
  </si>
  <si>
    <t>e. Reject Rate Press E</t>
  </si>
  <si>
    <t>f. Reject Rate Press F</t>
  </si>
  <si>
    <t>BULAN</t>
  </si>
  <si>
    <t>MEI</t>
  </si>
  <si>
    <t>AGU</t>
  </si>
  <si>
    <t>OKT</t>
  </si>
  <si>
    <t>NOV</t>
  </si>
  <si>
    <t>DES</t>
  </si>
  <si>
    <t>PRESS LINE</t>
  </si>
  <si>
    <t>GSPH</t>
  </si>
  <si>
    <t>A LINE</t>
  </si>
  <si>
    <t>Stroke</t>
  </si>
  <si>
    <t>B LINE</t>
  </si>
  <si>
    <t>C LINE</t>
  </si>
  <si>
    <t>D LINE</t>
  </si>
  <si>
    <t>E LINE</t>
  </si>
  <si>
    <t>F LINE</t>
  </si>
  <si>
    <t>STROKE/TPT = GSPH</t>
  </si>
  <si>
    <t>TPT (menit)</t>
  </si>
  <si>
    <t>e. Press E</t>
  </si>
  <si>
    <t>f. Press F</t>
  </si>
  <si>
    <t>e. Repair Rate Press E</t>
  </si>
  <si>
    <t>f. Repair Rate Press F</t>
  </si>
  <si>
    <t>(avg GSPH  = tot Stroke/TPT)</t>
  </si>
  <si>
    <t>QTY</t>
  </si>
  <si>
    <t>PRESS A</t>
  </si>
  <si>
    <t>OK</t>
  </si>
  <si>
    <t>REPAIR</t>
  </si>
  <si>
    <t>REJECT</t>
  </si>
  <si>
    <t>TOTAL</t>
  </si>
  <si>
    <t>OK %</t>
  </si>
  <si>
    <t>REPAIR %</t>
  </si>
  <si>
    <t>REJECT %</t>
  </si>
  <si>
    <t>TOTAL %</t>
  </si>
  <si>
    <t>PRESS B</t>
  </si>
  <si>
    <t>PRESS C</t>
  </si>
  <si>
    <t>PRESS D</t>
  </si>
  <si>
    <t>PRESS E</t>
  </si>
  <si>
    <t>PRESS F</t>
  </si>
  <si>
    <t>h. Press Line</t>
  </si>
  <si>
    <t>h. Repair Rate Press Line</t>
  </si>
  <si>
    <t>h. Reject Rate Press Line</t>
  </si>
  <si>
    <t>YTD</t>
  </si>
  <si>
    <t>ABCD</t>
  </si>
  <si>
    <t>TARGET KPI</t>
  </si>
  <si>
    <t>K LINE</t>
  </si>
  <si>
    <t>PRESS K</t>
  </si>
  <si>
    <t>i. Press Line</t>
  </si>
  <si>
    <t>g. Press K</t>
  </si>
  <si>
    <t>i. Repair Rate Press Line</t>
  </si>
  <si>
    <t>i. Reject Rate Press Line</t>
  </si>
  <si>
    <t>g. Repair Rate Press K</t>
  </si>
  <si>
    <t>g. Reject Rate Press K</t>
  </si>
  <si>
    <t>Checked</t>
  </si>
  <si>
    <t>Approved</t>
  </si>
  <si>
    <t>Ka. Dept.</t>
  </si>
  <si>
    <t>DATA DETAIL QTY STAMPING - 2024</t>
  </si>
  <si>
    <t>NO</t>
  </si>
  <si>
    <t>MAT'L NUMBER</t>
  </si>
  <si>
    <t>LINE</t>
  </si>
  <si>
    <t>JANUARI</t>
  </si>
  <si>
    <t>FEBRUARI</t>
  </si>
  <si>
    <t>D58213 BZ130</t>
  </si>
  <si>
    <t>AAS-054=REINF  CTR FLOOR PANEL</t>
  </si>
  <si>
    <t>D61343 BZ180</t>
  </si>
  <si>
    <t>AAS-058=PILLAR CTR BODY INNER RH</t>
  </si>
  <si>
    <t>D61344 BZ190</t>
  </si>
  <si>
    <t>AAS-059=PILLAR CTR BODY INNER LH</t>
  </si>
  <si>
    <t>D57454 BZ150</t>
  </si>
  <si>
    <t>AES-006=MEMBER, FR FLOOR CROSS SIDE, LH</t>
  </si>
  <si>
    <t>D61733 BZ040</t>
  </si>
  <si>
    <t>AES-039=PANEL,ROOF SIDE INNER,FR RH</t>
  </si>
  <si>
    <t>D61734 BZ040</t>
  </si>
  <si>
    <t>AES-042=PANEL,ROOF SIDE INNER,FR LH</t>
  </si>
  <si>
    <t>D57453 BZ100</t>
  </si>
  <si>
    <t>AES-048=MEMBER, FR FLOOR CROSS SIDE, RH</t>
  </si>
  <si>
    <t>DV61162 BZ081G2</t>
  </si>
  <si>
    <t>G-002=PILLAR FR BODY INNER LH</t>
  </si>
  <si>
    <t>DV61161 BZ240G3</t>
  </si>
  <si>
    <t>G-003N=PILLAR, FR BODY, INNER RH</t>
  </si>
  <si>
    <t>DV61162 BZ091G4</t>
  </si>
  <si>
    <t>G-004=PILLAR FR BODY INNER LH</t>
  </si>
  <si>
    <t>DV61162 BZ240G4</t>
  </si>
  <si>
    <t>G-004N=PILLAR, FR BODY, INNER LH</t>
  </si>
  <si>
    <t>DV61161 BZ101G5</t>
  </si>
  <si>
    <t>G-005=PILLAR FR BODY INNER RH</t>
  </si>
  <si>
    <t>DV61162 BZ111G8</t>
  </si>
  <si>
    <t>G-008=PILLAR FR BODY INNER LH</t>
  </si>
  <si>
    <t>DV64136 BZ020G20</t>
  </si>
  <si>
    <t>G-020=REINFORCEMENT BACK CORNER OUTER LH</t>
  </si>
  <si>
    <t>DV58114 BZ020</t>
  </si>
  <si>
    <t>G-031=PANEL, FR FLOOR, CTR RR</t>
  </si>
  <si>
    <t>DV58312 BZ020-00</t>
  </si>
  <si>
    <t>GT-2519(K-1042)=PANEL RR FLOOR SIDE RR</t>
  </si>
  <si>
    <t>DV58312 BZ040-00</t>
  </si>
  <si>
    <t>GT-2520(K-1043)=PANEL RR FLOOR SIDE RR</t>
  </si>
  <si>
    <t>D53711 BZ071-00</t>
  </si>
  <si>
    <t>GT-5154(K-1056)=APRON FRT FENDER RH</t>
  </si>
  <si>
    <t>D53711 BZ081-00</t>
  </si>
  <si>
    <t>GT-5155 &amp; K-1058=APRON FRT FENDER RH</t>
  </si>
  <si>
    <t>D53712 BZ070-00</t>
  </si>
  <si>
    <t>GT-5156(K-1057)=APRON FRT FENDER LH</t>
  </si>
  <si>
    <t>D53712 BZ080-00</t>
  </si>
  <si>
    <t>GT-5157(K-1059)=APRON FRT FENDER LH</t>
  </si>
  <si>
    <t>DV53711 BZ260-00</t>
  </si>
  <si>
    <t>GT-6246=APPRON FRT FENDER RH</t>
  </si>
  <si>
    <t>DV53712 BZ250-00</t>
  </si>
  <si>
    <t>GT-6247=APPRON FRT FENDER LH</t>
  </si>
  <si>
    <t>D55711 BZ090-00</t>
  </si>
  <si>
    <t>GT-6273(K-1015)=PANEL, COWL TOP, OUTER</t>
  </si>
  <si>
    <t>ISFV 8975838684</t>
  </si>
  <si>
    <t>IB-036=FRAME FLR UNDER RH</t>
  </si>
  <si>
    <t>ISFV 8975838694</t>
  </si>
  <si>
    <t>IB-037=FRAME FLR UNDER LH</t>
  </si>
  <si>
    <t>ISFV 8975839253</t>
  </si>
  <si>
    <t>IB-050=FRAME FLOOR RR</t>
  </si>
  <si>
    <t>IFGV-8975893064</t>
  </si>
  <si>
    <t>IB-077=FRAME SUB ASM;FLOOR RR</t>
  </si>
  <si>
    <t>D58171 BZ130</t>
  </si>
  <si>
    <t>NX-4143=REINF PARKING BRAKE BASE TO FLR</t>
  </si>
  <si>
    <t>IFGV-8978500644</t>
  </si>
  <si>
    <t>PB-017=FRAME UNDER LH</t>
  </si>
  <si>
    <t>IFGV-8978500635</t>
  </si>
  <si>
    <t>PB-018=FRAME UNDER RH</t>
  </si>
  <si>
    <t>IFGV-8978500408</t>
  </si>
  <si>
    <t>PB-070=MOUNTING BRKT</t>
  </si>
  <si>
    <t>ISF-NPN2594434</t>
  </si>
  <si>
    <t>PV-005BA1-BLK BODY SIDE RH</t>
  </si>
  <si>
    <t>ISF-NPN3465544</t>
  </si>
  <si>
    <t>PV-006BA1-BLK BODY SIDE LH</t>
  </si>
  <si>
    <t>ISF-NPN2594023</t>
  </si>
  <si>
    <t>PVS-001B1-REINF WAIST DOOR OTR FRT RH</t>
  </si>
  <si>
    <t>ISF-NPN2594024</t>
  </si>
  <si>
    <t>PVS-002B1-REINF WAIST DOOR OTR RR RH</t>
  </si>
  <si>
    <t>D52131 BZ170-00</t>
  </si>
  <si>
    <t>S-1013=REINFORCEMENT, FR BUMPER</t>
  </si>
  <si>
    <t>D67147 BZ180-00</t>
  </si>
  <si>
    <t>S-4030=PANEL, RR DOOR HINGE SIDE, RH</t>
  </si>
  <si>
    <t>D67148 BZ180-00</t>
  </si>
  <si>
    <t>S-4031=PANEL, RR DOOR HINGE SIDE, LH</t>
  </si>
  <si>
    <t>DV61645 BZ080-00</t>
  </si>
  <si>
    <t>SC-0767=GUSSET, QUARTER WHEEL HOUSE, RR</t>
  </si>
  <si>
    <t>DV61646 BZ120-00</t>
  </si>
  <si>
    <t>SC-0768=GUSSET QTR WHEEL HOUSE RR LH</t>
  </si>
  <si>
    <t>W-23843218</t>
  </si>
  <si>
    <t>WL-001=PANEL RR BODY OTR</t>
  </si>
  <si>
    <t>%</t>
  </si>
  <si>
    <t>DV61621 BZ150-00</t>
  </si>
  <si>
    <t>AA-3426=EXTENSION, QUARTER PANEL,LWR RH</t>
  </si>
  <si>
    <t>DV61622 BZ150-00</t>
  </si>
  <si>
    <t>AA-3427=EXTENSION, QUARTER PANEL, LWR LH</t>
  </si>
  <si>
    <t>DV57453 BZ070</t>
  </si>
  <si>
    <t>AAS-006=MEMBER  FR FLOOR CROSS SIDE RH</t>
  </si>
  <si>
    <t>DV57454 BZ060</t>
  </si>
  <si>
    <t>AAS-007=MEMBER FR FLOOR CROSS SIDE LH</t>
  </si>
  <si>
    <t>DV57468 BZ090-00</t>
  </si>
  <si>
    <t>AE-0090=BRACKET, FR SEAT, RR RH</t>
  </si>
  <si>
    <t>DV57469 BZ040-00</t>
  </si>
  <si>
    <t>AE-0091=BRACKET, FR SEAT, RR LH</t>
  </si>
  <si>
    <t>D58114 BZ070</t>
  </si>
  <si>
    <t>AES-011=REINFORCEMENT, FR FLR PANEL, RH</t>
  </si>
  <si>
    <t>DV58114 BZ070-03</t>
  </si>
  <si>
    <t>AES-011V=REINFORCEMENT, FR FLR PANEL, RH</t>
  </si>
  <si>
    <t>D61657 BZ100</t>
  </si>
  <si>
    <t>AES-016=BRACKET, RR SHOCK ABSORBER, RH</t>
  </si>
  <si>
    <t>D61658 BZ100</t>
  </si>
  <si>
    <t>AES-017=BRACKET, RR SHOCK ABSORBER, LH</t>
  </si>
  <si>
    <t>D55741 BZ560</t>
  </si>
  <si>
    <t>AES-023=PANEL, COWL TOP, INNER</t>
  </si>
  <si>
    <t>D61627 BZ110</t>
  </si>
  <si>
    <t>AES-028=EXTENSION, QRTR PNL,RR LWR</t>
  </si>
  <si>
    <t>D61627 BZ120</t>
  </si>
  <si>
    <t>AES-029=EXTENSION, QRTR PNL,RR LWR RH</t>
  </si>
  <si>
    <t>D61628 BZ160</t>
  </si>
  <si>
    <t>AES-033=EXTENSION, QRTR PNL,RR LWR</t>
  </si>
  <si>
    <t>D61628 BZ170</t>
  </si>
  <si>
    <t>AES-034=EXTENSION, QRTR PNL,RR LWR</t>
  </si>
  <si>
    <t>D61627 BZ170</t>
  </si>
  <si>
    <t>AES-049=EXTENSION, QRR PNL,RR LWR RH</t>
  </si>
  <si>
    <t>D61628 BZ220</t>
  </si>
  <si>
    <t>AES-050=EXTENSION, QRR PNL,RR LWR LH</t>
  </si>
  <si>
    <t>IFG-8976955920</t>
  </si>
  <si>
    <t>AH-008GU=CROSSMEMBER 3RD</t>
  </si>
  <si>
    <t>DV61161 BZ091G3</t>
  </si>
  <si>
    <t>G-003=PILLAR FR BODY INNER RH</t>
  </si>
  <si>
    <t>DV61161 BZ131G9</t>
  </si>
  <si>
    <t>G-009=PILLAR FR BODY INNER RH</t>
  </si>
  <si>
    <t>DV61344 BZ070G13</t>
  </si>
  <si>
    <t>G-013=PILLAR CTR BODY INNER LH</t>
  </si>
  <si>
    <t>DV61343 BZ080G14</t>
  </si>
  <si>
    <t>G-014=PILLAR CTR BODY INNER RH</t>
  </si>
  <si>
    <t>DV61343 BZ090G15</t>
  </si>
  <si>
    <t>G-015=PILLAR CTR BODY INNER LH</t>
  </si>
  <si>
    <t>DV61343 BZ090G16</t>
  </si>
  <si>
    <t>G-016=PILLAR CTR BODY INNER RH</t>
  </si>
  <si>
    <t>DV64135 BZ010G17</t>
  </si>
  <si>
    <t>G-017=REINFORCEMENT BACK CORNER OUTER RH</t>
  </si>
  <si>
    <t>DV64136 BZ010G18</t>
  </si>
  <si>
    <t>G-018=REINFORCEMENT BACK CORNER OUTER LH</t>
  </si>
  <si>
    <t>DV64123 BZ011G21</t>
  </si>
  <si>
    <t>G-021=PANEL BACK CORNER INSIDE RH</t>
  </si>
  <si>
    <t>DV64124 BZ011G22</t>
  </si>
  <si>
    <t>G-022=PANEL BACK CORNER INSIDE LH</t>
  </si>
  <si>
    <t>DV58111 BZ270</t>
  </si>
  <si>
    <t>G-028=PAN FRT FLOOR</t>
  </si>
  <si>
    <t>DV58111 BZ410</t>
  </si>
  <si>
    <t>G-034=PAN FRT FLOOR</t>
  </si>
  <si>
    <t>DV58114 BZ090</t>
  </si>
  <si>
    <t>G-035=PNL FRT FOOR CTR REAR</t>
  </si>
  <si>
    <t>ISFV 8975895451</t>
  </si>
  <si>
    <t>IB-054=BRACKET CAB MTG</t>
  </si>
  <si>
    <t>ISF NPN6955321</t>
  </si>
  <si>
    <t>IF-013=CROSSMEMBER;1ST</t>
  </si>
  <si>
    <t>ISF NPN6955331</t>
  </si>
  <si>
    <t>IF-015=CROSSMEMBER 2ND ASM</t>
  </si>
  <si>
    <t>VV-D61621-BZ110</t>
  </si>
  <si>
    <t>NA-053=EXTENSION, QURTER PANEL, LOWER RH</t>
  </si>
  <si>
    <t>VV-D61622-BZ140</t>
  </si>
  <si>
    <t>NA-056=EXTENSION, QURTER PANEL, LOWER LH</t>
  </si>
  <si>
    <t>DVM57258 BZ030-00</t>
  </si>
  <si>
    <t>NX-2928= BRKT ENG RR MOUNTING MEMBER LH</t>
  </si>
  <si>
    <t>IFGV-8978500073</t>
  </si>
  <si>
    <t>PB-015=FLR RR PANEL LH</t>
  </si>
  <si>
    <t>IFGV-8978500082</t>
  </si>
  <si>
    <t>PB-016=FLR RR PANEL RH</t>
  </si>
  <si>
    <t>IFGV-8978500185</t>
  </si>
  <si>
    <t>PB-026=GUSSET FLR SIDE RH</t>
  </si>
  <si>
    <t>IFGV-8982701130</t>
  </si>
  <si>
    <t>PB-061N=RAIL MOUNTING REAR</t>
  </si>
  <si>
    <t>IFGV-8978503473</t>
  </si>
  <si>
    <t>PB-061NB=RAIL MOUNTING REAR</t>
  </si>
  <si>
    <t>IFGV-8976664070</t>
  </si>
  <si>
    <t>PB-061NB1=RAIL MOUNTING REAR</t>
  </si>
  <si>
    <t>IFGV-8978500324</t>
  </si>
  <si>
    <t>PB-062=REINF RAIL MTG RAIL</t>
  </si>
  <si>
    <t>ISF PH073GU</t>
  </si>
  <si>
    <t>PH-073=3RD CROSS MEMBER UPPER</t>
  </si>
  <si>
    <t>ISF PH074GU</t>
  </si>
  <si>
    <t>PH-074=3TH CROSS MEMBER LOWER</t>
  </si>
  <si>
    <t>ISF 8982597522</t>
  </si>
  <si>
    <t>PV-023BS=BRKT FUEL TANK (NON PAIN)</t>
  </si>
  <si>
    <t>ISF-NPN2594013</t>
  </si>
  <si>
    <t>PVS-003B1-REINF WAIST DOOR OTR FRT LH</t>
  </si>
  <si>
    <t>ISF-NPN2594014</t>
  </si>
  <si>
    <t>PVS-004B1-REINF WAIST DOOR OTR RR LH</t>
  </si>
  <si>
    <t>ISF 8983153400</t>
  </si>
  <si>
    <t>PVS-005B=BRKT BUMPER RH</t>
  </si>
  <si>
    <t>ISF 8983153410</t>
  </si>
  <si>
    <t>PVS-007B=BRKT BUMPER LH</t>
  </si>
  <si>
    <t>IFG-8982592710</t>
  </si>
  <si>
    <t>PVS-008B=REINF; BC PEDAL</t>
  </si>
  <si>
    <t>DV57417 BZ150-00</t>
  </si>
  <si>
    <t>RC-1600=REINFORCEMENT, FR FLOOR UNDER RH</t>
  </si>
  <si>
    <t>DV57418 BZ050-00</t>
  </si>
  <si>
    <t>RC-1601=REINFORCEMENT, FR FLOOR UNDER LH</t>
  </si>
  <si>
    <t>DV61623 BZ190</t>
  </si>
  <si>
    <t>RCS-010=EXT QTR PNL OTR RH</t>
  </si>
  <si>
    <t>DV61625 BZ170</t>
  </si>
  <si>
    <t>RCS-011=EXTENTION  QTR PNL UPR RH</t>
  </si>
  <si>
    <t>DV61627 BZ080</t>
  </si>
  <si>
    <t>RCS-012=EXT; QTR PANEL RR LWR RH</t>
  </si>
  <si>
    <t>DV61627 BZ100</t>
  </si>
  <si>
    <t>RCS-015=EXT; QTR PANEL RR LWR RH</t>
  </si>
  <si>
    <t>DV61624 BZ200</t>
  </si>
  <si>
    <t>RCS-016=EXT QTR PNL OTR LH</t>
  </si>
  <si>
    <t>DV61626 BZ210</t>
  </si>
  <si>
    <t>RCS-017=EXTENTION  QTR PNL UPR LH</t>
  </si>
  <si>
    <t>DV61628 BZ130</t>
  </si>
  <si>
    <t>RCS-018=EXT; QTR PANEL RR LWR LH</t>
  </si>
  <si>
    <t>DV61628 BZ150</t>
  </si>
  <si>
    <t>RCS-033=EXT; QTR PANEL RR LWR LH</t>
  </si>
  <si>
    <t>DV63134 BZ240-00</t>
  </si>
  <si>
    <t>SC-0770=FRAME BACK WINDOW UPR INR</t>
  </si>
  <si>
    <t>T57418 BZ020-00-28</t>
  </si>
  <si>
    <t>T116=REINFORCEMENT,FR FLR UNDER,LH</t>
  </si>
  <si>
    <t>T57418 BZ050-00-28</t>
  </si>
  <si>
    <t>T117=REINFORCEMENT, FR FLOOR UNDER LH</t>
  </si>
  <si>
    <t>T61621 BZ110-00-26</t>
  </si>
  <si>
    <t>T213=EXTENSION, QURTER PANEL, LOWER RH</t>
  </si>
  <si>
    <t>T61621 BZ110-00E26</t>
  </si>
  <si>
    <t>T213E=EXTENSION, QURTER PANEL, LOWER RH</t>
  </si>
  <si>
    <t>T61622 BZ140-00-26</t>
  </si>
  <si>
    <t>T214=EXTENSION, QURTER PANEL, LOWER LH</t>
  </si>
  <si>
    <t>T61622BZ140-00E26</t>
  </si>
  <si>
    <t>T214E=EXTENSION, QURTER PANEL, LOWER LH</t>
  </si>
  <si>
    <t>DV57468 BZ120</t>
  </si>
  <si>
    <t>XP-0078=BRACKET, FR SEAT, RR RH</t>
  </si>
  <si>
    <t>DV57469 BZ060</t>
  </si>
  <si>
    <t>XP-0079=BRACKET, FR SEAT, RR LH</t>
  </si>
  <si>
    <t>DV65317 BZ030-00</t>
  </si>
  <si>
    <t>GT-2512(K-1033)=PANEL FLOOR SIDE RH</t>
  </si>
  <si>
    <t>DV65318 BZ030-00</t>
  </si>
  <si>
    <t>GT-2513(K-1034)=PANEL FLOOR SIDE LH</t>
  </si>
  <si>
    <t>DV65317 BZ010-00</t>
  </si>
  <si>
    <t>GT-2514(K-1035)=PANEL FLOOR SIDE RH</t>
  </si>
  <si>
    <t>DV65318 BZ010-00</t>
  </si>
  <si>
    <t>GT-2515(K-1036)=PANEL FLOOR SIDE LH</t>
  </si>
  <si>
    <t>DV65317 BZ021-00</t>
  </si>
  <si>
    <t>GT-3638(K-1140)=PANEL FLOOR SIDE RH (GA)</t>
  </si>
  <si>
    <t>DV65318 BZ021-00</t>
  </si>
  <si>
    <t>GT-3639(K-1141)=PANEL FLOOR SIDE LH (GA)</t>
  </si>
  <si>
    <t>DV58311 BZ141-00</t>
  </si>
  <si>
    <t>GT-5051(K-1125)=PANEL RR FLOOR</t>
  </si>
  <si>
    <t>DV58311 BZ091-00</t>
  </si>
  <si>
    <t>GT-5056(K-1032)=PANEL RR FLOOR</t>
  </si>
  <si>
    <t>DV58311 BZ101-00</t>
  </si>
  <si>
    <t>GT-5057(K-1122)=PANEL RR FLOOR</t>
  </si>
  <si>
    <t>DV58311 BZ111-00</t>
  </si>
  <si>
    <t>GT-5058(K-1123)=PANEL RR FLOOR</t>
  </si>
  <si>
    <t>D55711 BZ080-00</t>
  </si>
  <si>
    <t>GT-6193=PANEL, COWL TOP, OUTER</t>
  </si>
  <si>
    <t>D61111 BZ502-00</t>
  </si>
  <si>
    <t>J-2045=PANEL, SIDE, OUTER RH</t>
  </si>
  <si>
    <t>D61112 BZ581-00</t>
  </si>
  <si>
    <t>J-2057=PANEL, SIDE, OUTER LH</t>
  </si>
  <si>
    <t>D61112 BZ591-00</t>
  </si>
  <si>
    <t>J-2058=PANEL, SIDE, OUTER LH</t>
  </si>
  <si>
    <t>D61112 BZ601-00</t>
  </si>
  <si>
    <t>J-2059=PANEL, SIDE, OUTER LH</t>
  </si>
  <si>
    <t>D61112 BZ611-00</t>
  </si>
  <si>
    <t>J-2060=PANEL, SIDE, OUTER LH</t>
  </si>
  <si>
    <t>D61111 BZ710-00</t>
  </si>
  <si>
    <t>J-2081=PANEL, SIDE, OUTER RH</t>
  </si>
  <si>
    <t>D61111 BZA60-00</t>
  </si>
  <si>
    <t>J-2084=PANEL, SIDE, OUTER RH</t>
  </si>
  <si>
    <t>D61111 BZA70-00</t>
  </si>
  <si>
    <t>J-2085=PANEL, SIDE, OUTER RH</t>
  </si>
  <si>
    <t>D63111 BZ210-00</t>
  </si>
  <si>
    <t>J-3001=PANEL, ROOF</t>
  </si>
  <si>
    <t>D63111 BZ300-00</t>
  </si>
  <si>
    <t>J-3004=PANEL, ROOF</t>
  </si>
  <si>
    <t>DVA67111 BZ210-00</t>
  </si>
  <si>
    <t>J-4017=PANEL, FR DOOR, OUTSIDE RH</t>
  </si>
  <si>
    <t>DVA67112 BZ220-00</t>
  </si>
  <si>
    <t>J-4018=PANEL, FR DOOR, OUTSIDE LH</t>
  </si>
  <si>
    <t>DVA67113 BZ240-00</t>
  </si>
  <si>
    <t>J-4021=PANEL, RR DOOR, OUTSIDE RH</t>
  </si>
  <si>
    <t>DV67113 BZ240-00</t>
  </si>
  <si>
    <t>DVA67114 BZ240-00</t>
  </si>
  <si>
    <t>J-4022=PANEL, RR DOOR, OUTSIDE LH</t>
  </si>
  <si>
    <t>DV67114 BZ240-00</t>
  </si>
  <si>
    <t>DVA67141 BZ180-00</t>
  </si>
  <si>
    <t>J-4031=PANEL, FR DOOR, INSIDE RH</t>
  </si>
  <si>
    <t>DVA67142 BZ180-00</t>
  </si>
  <si>
    <t>J-4032=PANEL, FR DOOR, INSIDE LH</t>
  </si>
  <si>
    <t>DVA53311 BZ230-00</t>
  </si>
  <si>
    <t>J-4041=PANEL, HOOD</t>
  </si>
  <si>
    <t>D53321 BZ230-00</t>
  </si>
  <si>
    <t>J-4042=PANEL, HOOD, INNER</t>
  </si>
  <si>
    <t>DV53811 BZ340-00</t>
  </si>
  <si>
    <t>J-4051=PANEL, FR FENDER, RH</t>
  </si>
  <si>
    <t>DV53812 BZ280-00</t>
  </si>
  <si>
    <t>J-4052=PANEL, FR FENDER, LH</t>
  </si>
  <si>
    <t>DV53811 BZ350-00</t>
  </si>
  <si>
    <t>J-4053=PANEL, FR FENDER, RH</t>
  </si>
  <si>
    <t>DV53812 BZ350-00</t>
  </si>
  <si>
    <t>J-4054=PANEL, FR FENDER, LH</t>
  </si>
  <si>
    <t>DV53811 BZ370-00</t>
  </si>
  <si>
    <t>J-4057=PANEL, FR FENDER, RH</t>
  </si>
  <si>
    <t>DV53812 BZ370-00</t>
  </si>
  <si>
    <t>J-4058=PANEL, FR FENDER, LH</t>
  </si>
  <si>
    <t>D67141 BZ081-00</t>
  </si>
  <si>
    <t>K-4078=PNL FRT DOOR INR RH</t>
  </si>
  <si>
    <t>D67142 BZ081-00</t>
  </si>
  <si>
    <t>K-4079=PNL FRT DOOR INR LH</t>
  </si>
  <si>
    <t>D67141 BZ121-00</t>
  </si>
  <si>
    <t>K-4082=PNL FRT DOOR INR RH</t>
  </si>
  <si>
    <t>D67142 BZ121-00</t>
  </si>
  <si>
    <t>K-4083=PNL FRT DOOR INR LH</t>
  </si>
  <si>
    <t>D67142 BZ300-00</t>
  </si>
  <si>
    <t>K-4084=PANEL FRONT DOOR INR LH</t>
  </si>
  <si>
    <t>D58111 BZ340-00</t>
  </si>
  <si>
    <t>NX-4142= PAN FRONT FLOOR</t>
  </si>
  <si>
    <t>D67143 BZ090-00</t>
  </si>
  <si>
    <t>W-4026=PANEL RR DOOR INSIDE RH(Long)</t>
  </si>
  <si>
    <t>W-24334992</t>
  </si>
  <si>
    <t>WA-001=DASH PANEL</t>
  </si>
  <si>
    <t>W-23839896</t>
  </si>
  <si>
    <t>WL-002=PANEL ROOF</t>
  </si>
  <si>
    <t>D55741 BZ130-00</t>
  </si>
  <si>
    <t>K-1016=PANEL, COWL TOP, INNER</t>
  </si>
  <si>
    <t>ISF 8980144682</t>
  </si>
  <si>
    <t>IB-051=REINFORCEMENT FRAME FLR RR</t>
  </si>
  <si>
    <t>ISFV 8980144682</t>
  </si>
  <si>
    <t>ISFV 8975838844</t>
  </si>
  <si>
    <t>IB-061=PANEL ROCKER INNER RH</t>
  </si>
  <si>
    <t>ISFV 8975838854</t>
  </si>
  <si>
    <t>IB-062=PANEL ROCKER INNER LH</t>
  </si>
  <si>
    <t>IFGV-8982586440</t>
  </si>
  <si>
    <t>PB-016N=FLOOR PANEL REAR LH</t>
  </si>
  <si>
    <t>IFGV-8982586380</t>
  </si>
  <si>
    <t>PB-015N=FLOOR PANEL REAR RH</t>
  </si>
  <si>
    <t>ISFV 8975880321</t>
  </si>
  <si>
    <t>IB-023=REINFORCEMENT FLOOR FRT RH</t>
  </si>
  <si>
    <t>ISFV 8975880331</t>
  </si>
  <si>
    <t>IB-024=REINFORCEMENT FLOOR FRT LH</t>
  </si>
  <si>
    <t>IFGV-8975859933</t>
  </si>
  <si>
    <t>IB-016=BRACKETWIPER</t>
  </si>
  <si>
    <t>ISFV 8976957480</t>
  </si>
  <si>
    <t>IB-002=PANEL;ROOF FRT HEADER</t>
  </si>
  <si>
    <t>ISFV 8975838906</t>
  </si>
  <si>
    <t>IB-068=PANEL RR PLR INR LWR LH</t>
  </si>
  <si>
    <t>ISFV 8975838896</t>
  </si>
  <si>
    <t>IB-067=PANEL RR PLR INR LWR RH</t>
  </si>
  <si>
    <t>T57417 BZ150-00-28</t>
  </si>
  <si>
    <t>T115=REINFORCEMENT, FR FLOOR UNDER RH</t>
  </si>
  <si>
    <t>ISFV 8975838304</t>
  </si>
  <si>
    <t>IB-026=PREINFORCEMENT PARK BRAKE LEVER</t>
  </si>
  <si>
    <t>IFGV-8978500548</t>
  </si>
  <si>
    <t>PB-033=GUSSET FRT PLR LWR LH</t>
  </si>
  <si>
    <t>IFGV-8978500538</t>
  </si>
  <si>
    <t>PB-034=GUSSET FRT PLR LWR RH</t>
  </si>
  <si>
    <t>D57611 BZ141-00</t>
  </si>
  <si>
    <t>GT-6194=MEMBER, RR FLOOR SIDE, FR RH</t>
  </si>
  <si>
    <t>D57612 BZ142-00</t>
  </si>
  <si>
    <t>GT-6196=MEMBER, RR FLOOR SIDE, FR LH</t>
  </si>
  <si>
    <t>IFGV-8978500195</t>
  </si>
  <si>
    <t>PB-025=GUSSET FLR SIDE LH</t>
  </si>
  <si>
    <t>DV58115 BZ100-03</t>
  </si>
  <si>
    <t>AES-012V=REINFORCEMENT, FR FLOOR PNL,LH</t>
  </si>
  <si>
    <t>D55741 BZ200-00</t>
  </si>
  <si>
    <t>K-1119=PANEL, COWL TOP, INNER</t>
  </si>
  <si>
    <t>D53321 BZ130-00</t>
  </si>
  <si>
    <t>K-4003=PANEL, HOOD, INNER</t>
  </si>
  <si>
    <t>D67145 BZ050-00</t>
  </si>
  <si>
    <t>K-4045=PANEL, FR DOOR HINGE SIDE,RH</t>
  </si>
  <si>
    <t>D67146 BZ050-00</t>
  </si>
  <si>
    <t>K-4046=PANEL, FR DOOR HINGE SIDE,LH</t>
  </si>
  <si>
    <t>DV61771 BZ140-00</t>
  </si>
  <si>
    <t>AA-3446=FRME,BACK DR OPENING UPR CRNR,RH</t>
  </si>
  <si>
    <t>DV61772 BZ130-00</t>
  </si>
  <si>
    <t>AA-3447=FRME,BACK DR OPENING UPR CRNR,LH</t>
  </si>
  <si>
    <t>VV-D57417-BZ120</t>
  </si>
  <si>
    <t>NA-049=REINFORCEMENT, FR FLR UNDER, RH</t>
  </si>
  <si>
    <t>VV-D57418-BZ020</t>
  </si>
  <si>
    <t>NA-050=REINFORCEMENT,FR FLR UNDER,LH</t>
  </si>
  <si>
    <t>D55741 BZ570</t>
  </si>
  <si>
    <t>AES-024=PANEL, COWL TOP, INNER</t>
  </si>
  <si>
    <t>DV67147 BZ170-00</t>
  </si>
  <si>
    <t>T-4023=PANEL R/D HINGE SIDE RH</t>
  </si>
  <si>
    <t>DV67148 BZ170-00</t>
  </si>
  <si>
    <t>T-4024=PANEL R/D HINGE SIDE LH</t>
  </si>
  <si>
    <t>T57417 BZ120-00-28</t>
  </si>
  <si>
    <t>T114=REINFORCEMENT, FR FLR UNDER, RH</t>
  </si>
  <si>
    <t>D67145 BZ160-00</t>
  </si>
  <si>
    <t>T-4013=PANEL F/D HINGE SIDE RH</t>
  </si>
  <si>
    <t>D67146 BZ150-00</t>
  </si>
  <si>
    <t>T-4014=PANEL F/D HINGE SIDE LH</t>
  </si>
  <si>
    <t>D57411 BZ210</t>
  </si>
  <si>
    <t>AAS-050=MBR  FLOOR SIDE INNER RH</t>
  </si>
  <si>
    <t>D57412 BZ280</t>
  </si>
  <si>
    <t>AAS-051=MBR FLOOR SIDE INNER LH</t>
  </si>
  <si>
    <t>D55741 BZ400</t>
  </si>
  <si>
    <t>AAS-057=PANEL COWL TOP INNER</t>
  </si>
  <si>
    <t>DV57418 BZ020-00</t>
  </si>
  <si>
    <t>RC-2770=REINFORCEMENT, FR FLOOR UNDER LH</t>
  </si>
  <si>
    <t>DV57417 BZ120-00</t>
  </si>
  <si>
    <t>RC-2764=REINFORCEMENT, FR FLOOR UNDER RH</t>
  </si>
  <si>
    <t>D58115 BZ100</t>
  </si>
  <si>
    <t>AES-012=REINFORCEMENT, FR FLR PANEL, LH</t>
  </si>
  <si>
    <t>IFGV-8980152102S</t>
  </si>
  <si>
    <t>IB-075S=REINFORCEMENT FRAME FLR RR</t>
  </si>
  <si>
    <t>T116E=REINFORCEMENT,FR FLR UNDER,LH</t>
  </si>
  <si>
    <t>T57418 BZ020-00E28</t>
  </si>
  <si>
    <t>IB-075=REINFORCEMENT FRAME FLR RR</t>
  </si>
  <si>
    <t>IFG-8980152102</t>
  </si>
  <si>
    <t>AAS-088=PANEL ROOF SIDE INR LH</t>
  </si>
  <si>
    <t>DV61732 BZ170</t>
  </si>
  <si>
    <t>AA-1897=PANEL ROOF SIDE INR RH</t>
  </si>
  <si>
    <t>DV61731 BZ180-00</t>
  </si>
  <si>
    <t>J-4056=PANEL, FR FENDER,LH</t>
  </si>
  <si>
    <t>DV53812 BZ360-00</t>
  </si>
  <si>
    <t>J-4059=PANEL, FR FENDER, RH</t>
  </si>
  <si>
    <t>DV53811 BZ380-00</t>
  </si>
  <si>
    <t>J-4055=PANEL, FR FENDER, RH</t>
  </si>
  <si>
    <t>DV53811 BZ360-00</t>
  </si>
  <si>
    <t>W-4027=PANEL RR DOOR INSIDE LH (Long)</t>
  </si>
  <si>
    <t>D67144 BZ080-00</t>
  </si>
  <si>
    <t>J-2046=PANEL, SIDE, OUTER RH</t>
  </si>
  <si>
    <t>D61111 BZ512-00</t>
  </si>
  <si>
    <t>T114E=REINFORCEMENT, FR FLR UNDER, RH</t>
  </si>
  <si>
    <t>T57417 BZ120-00E28</t>
  </si>
  <si>
    <t>K4051(Blank)=BLANK PNL BACK DOOR,INSIDE</t>
  </si>
  <si>
    <t>DV67149 BZ210B</t>
  </si>
  <si>
    <t>T-1006=PANEL COWL TOP INNER LHD</t>
  </si>
  <si>
    <t>D55741 BZ520-00</t>
  </si>
  <si>
    <t>T-1005=PANEL COWL TOP INNER</t>
  </si>
  <si>
    <t>D55741 BZ510-00</t>
  </si>
  <si>
    <t>GT-5243=APRON, FR FENDER, RH</t>
  </si>
  <si>
    <t>D53711 BZ210-00</t>
  </si>
  <si>
    <t>MARET</t>
  </si>
  <si>
    <t>PROBLEM</t>
  </si>
  <si>
    <t>ACTUAL</t>
  </si>
  <si>
    <t>ACTION</t>
  </si>
  <si>
    <t>PIC</t>
  </si>
  <si>
    <t>APRIL</t>
  </si>
  <si>
    <t>J-4060=PANEL, FR FENDER, LH</t>
  </si>
  <si>
    <t>D61737 BZ050-00</t>
  </si>
  <si>
    <t>NX-0541=REINFORCEMENT ROOF SIDE INNER RH</t>
  </si>
  <si>
    <t>D61738 BZ-041-00</t>
  </si>
  <si>
    <t>NX-4275=REINFORCEMENT ROOF SIDE INNER LH</t>
  </si>
  <si>
    <t>MFG-5251D427V-00</t>
  </si>
  <si>
    <t>MK-030=PANEL FR FLOOR LH</t>
  </si>
  <si>
    <t>MFG-5251D428V-00</t>
  </si>
  <si>
    <t>MK-031=PANEL FR FLOOR RH</t>
  </si>
  <si>
    <t>MFG-743R0B010P-00</t>
  </si>
  <si>
    <t>MK-032=PANEL FR FLOOR SIDE LH</t>
  </si>
  <si>
    <t>MFG-743R1B010P-00</t>
  </si>
  <si>
    <t>MK-033=PANEL FR FLOOR SIDE RH</t>
  </si>
  <si>
    <t>IFGV-8978500308</t>
  </si>
  <si>
    <t>PB-061=RAIL RR MTG</t>
  </si>
  <si>
    <t>D61111 BZ720-00</t>
  </si>
  <si>
    <t>J-2082=PANEL, SIDE, OUTER RH</t>
  </si>
  <si>
    <t>D67141 BZ091-00</t>
  </si>
  <si>
    <t>K-4080=PNL FRT DOOR INR RH</t>
  </si>
  <si>
    <t>D67142 BZ091-00</t>
  </si>
  <si>
    <t>K-4081=PNL FRT DOOR INR LH</t>
  </si>
  <si>
    <t>D53321 BZ140-00</t>
  </si>
  <si>
    <t>K-4004=PANEL, HOOD, INNER</t>
  </si>
  <si>
    <t>D55741 BZ150-00</t>
  </si>
  <si>
    <t>K-1017=PANEL, COWL TOP, INNER</t>
  </si>
  <si>
    <t>D67145 BZ060-00</t>
  </si>
  <si>
    <t>K-4047=PANEL, FR DOOR HINGE SIDE,RH</t>
  </si>
  <si>
    <t>D67146 BZ060-00</t>
  </si>
  <si>
    <t>K-4048=PANEL, FR DOOR HINGE SIDE,LH</t>
  </si>
  <si>
    <t>MONTHLY D LINE</t>
  </si>
  <si>
    <t>YTD D LINE</t>
  </si>
  <si>
    <t>MONTHLY ABCD</t>
  </si>
  <si>
    <t>YTD ABCD</t>
  </si>
  <si>
    <t>MONTHLY A LINE</t>
  </si>
  <si>
    <t>YTD A LINE</t>
  </si>
  <si>
    <t>MONTHLY B LINE</t>
  </si>
  <si>
    <t>YTD B LINE</t>
  </si>
  <si>
    <t>MONTHLY C LINE</t>
  </si>
  <si>
    <t>YTD C LINE</t>
  </si>
  <si>
    <t>WVA</t>
  </si>
  <si>
    <t>REPAIR RATE PRESS – E LINE</t>
  </si>
  <si>
    <t>1. Gomikami originating from internal problems (RM, Dies, Gram) and from external (dust)</t>
  </si>
  <si>
    <t>1. Initial cleaning RM, Preventive maintenance Dies  &amp; minimize dust sources by closing the factory gap. Cleaning Factory on DOT/HOT. Additional Momban Gate for automatic open-closed.</t>
  </si>
  <si>
    <t>2. Hardchrome dies start to peel off due to lifetime of use above 2 years.</t>
  </si>
  <si>
    <t>2. Propose Re-newal dies that have been peeled off.</t>
  </si>
  <si>
    <t>REPAIR RATE PRESS – F LINE</t>
  </si>
  <si>
    <t>2. Propose Re-Hardchrome dies that have been peeled off.</t>
  </si>
  <si>
    <t>REPAIR RATE PRESS – K LINE</t>
  </si>
  <si>
    <t>REJECT RATE – E LINE</t>
  </si>
  <si>
    <t>Several dies still problem unstable process, surface hardchrome NG (Neck, Crack, Scratch). Poor of spare part management.</t>
  </si>
  <si>
    <t>1. Temporary action, polishing dies after process, initial cleaning before process.</t>
  </si>
  <si>
    <t xml:space="preserve">2. Develop Management spare part for dies. </t>
  </si>
  <si>
    <t>EHU</t>
  </si>
  <si>
    <t>REJECT RATE – F LINE</t>
  </si>
  <si>
    <t>REJECT RATE – K LINE</t>
  </si>
  <si>
    <t>GSPH of A line was not achieved</t>
  </si>
  <si>
    <t>June, 2024</t>
  </si>
  <si>
    <t>Bioma Cakrawala
(BCA)</t>
  </si>
  <si>
    <t>GSPH of B line was not achieved</t>
  </si>
  <si>
    <t>July, 2024</t>
  </si>
  <si>
    <t>GSPH of C line was not achieved</t>
  </si>
  <si>
    <t>GSPH of D line was not achieved</t>
  </si>
  <si>
    <t>PICA JUNI 2024</t>
  </si>
  <si>
    <t>Repair rate of A line was not achieved</t>
  </si>
  <si>
    <t>The OP-10 drawing results on the G-series die experienced waves because the pull on the bead was uneven.</t>
  </si>
  <si>
    <t>Re-FAT the OP-10 (drawing) die to find the standard cushion pressure in the range -10% to +30% (range 40%).</t>
  </si>
  <si>
    <t>Repair rate of B line was not achieved</t>
  </si>
  <si>
    <t>There is a repair hole on PV-023BS because the leader did not implement the SCW (stop call wait) system with his superiors.</t>
  </si>
  <si>
    <t>Refreshment of all leaders with leader roles by emphasizing the SCW system in the production process line.</t>
  </si>
  <si>
    <t>Repair rate of C line was not achieved</t>
  </si>
  <si>
    <t>Repair rate Line C was not achieved because there is scratch &amp; wave problem on somes dies.</t>
  </si>
  <si>
    <t>Standarization of dies following production machine for wave problem.</t>
  </si>
  <si>
    <t>Bayu Prakosa
(BPR)</t>
  </si>
  <si>
    <t>Reject rate of C line was not achieved</t>
  </si>
  <si>
    <t>Rejection rate Line C was not achieved because there is neck problem of K-4078.</t>
  </si>
  <si>
    <t>1. Standardzation of dies following production machine.
2. Re-FAT dies for problem neck and wave.</t>
  </si>
  <si>
    <t>DATA YTD JUNI 2024</t>
  </si>
  <si>
    <t>GSPH YTD</t>
  </si>
  <si>
    <t>JUNI</t>
  </si>
  <si>
    <t>D53711 BZ220-00</t>
  </si>
  <si>
    <t>D53711 BZ270-00</t>
  </si>
  <si>
    <t>GT-5244=APRON, FR FENDER, RH</t>
  </si>
  <si>
    <t>GT-6082=APRON FRT FENDER RH</t>
  </si>
  <si>
    <t>D61623 BZ120</t>
  </si>
  <si>
    <t>D61624 BZ130</t>
  </si>
  <si>
    <t>NXS-009=EXTENSION QUARTER PANEL OUTER RH</t>
  </si>
  <si>
    <t>NXS-010=EXTENSION QUARTER PANEL OUTER LH</t>
  </si>
  <si>
    <t>D61738 BZ050-00</t>
  </si>
  <si>
    <t>NX-4837=REINFORCEMENT ROOF SIDE INNER LH</t>
  </si>
  <si>
    <t>DV58312 BZ010-00</t>
  </si>
  <si>
    <t>GT-2518(K-1041)=PANEL RR FLOOR SIDE RR</t>
  </si>
  <si>
    <t>ISF NPN2594433</t>
  </si>
  <si>
    <t>PV-005BA=BLANK BODY SIDE RH</t>
  </si>
  <si>
    <t>D55131 BZ040-00</t>
  </si>
  <si>
    <t>Y-1507=R/F DASH PANEL</t>
  </si>
  <si>
    <t>DV57165 BZ030-00</t>
  </si>
  <si>
    <t>GT-5940=REINF, FR CROSSMEMBER, NO.2</t>
  </si>
  <si>
    <t>DV58111 BZ350</t>
  </si>
  <si>
    <t>G-029=PAN FRT FLOOR</t>
  </si>
  <si>
    <t>DV58111 BZ360</t>
  </si>
  <si>
    <t>G-030=PAN FRT FLOOR</t>
  </si>
  <si>
    <t>DV67111 BZ210-00</t>
  </si>
  <si>
    <t>DVA53321 BZ230-00</t>
  </si>
  <si>
    <t>D57611 BZ151-00</t>
  </si>
  <si>
    <t>GT-6195=MEMBER, RR FLOOR SIDE, FR RH</t>
  </si>
  <si>
    <t>D57612 BZ152-00</t>
  </si>
  <si>
    <t>GT-6197=MEMBER, RR FLOOR SIDE, FR LH</t>
  </si>
  <si>
    <t>DV58311 BZ121-00</t>
  </si>
  <si>
    <t>GT-5059(K-1124)=PANEL RR FLOOR</t>
  </si>
  <si>
    <t>DV61745 BZ060-S</t>
  </si>
  <si>
    <t>NXS-015=REINF BACK DOOR OPENING LWR RH</t>
  </si>
  <si>
    <t>DV61746 BZ040-S</t>
  </si>
  <si>
    <t>NXS-016=REINF BACK DOOR OPENING LWR LH</t>
  </si>
  <si>
    <t>JULI</t>
  </si>
  <si>
    <t>D61112 BZ621-00</t>
  </si>
  <si>
    <t>J-2061=PANEL, SIDE, OUTER LH  </t>
  </si>
  <si>
    <t>D51222 BZ050</t>
  </si>
  <si>
    <t>Y-1561(AX-3077)=CROSSMEMBER FRAME NO.2</t>
  </si>
  <si>
    <t>AES-012=REINFORCEMENT, FR FLR PANEL, LH  </t>
  </si>
  <si>
    <t>AES-012V=REINFORCEMENT, FR FLOOR PNL,LH  </t>
  </si>
  <si>
    <t>DV61161 BZ081G1</t>
  </si>
  <si>
    <t>G-001=PILLAR FR BODY INNER RH  </t>
  </si>
  <si>
    <t>DV61625 BZ100-00</t>
  </si>
  <si>
    <t>NX-0529=EXTENSION QUARTER PANEL UPR RH  </t>
  </si>
  <si>
    <t>DV61626 BZ100-00</t>
  </si>
  <si>
    <t>NX-0530=EXTENSION QUARTER PANEL UPR LH  </t>
  </si>
  <si>
    <t>D51221 BZ010-00</t>
  </si>
  <si>
    <t>Y-1202,AX-2175=CR0SS MBR FRAME NO 02 UPR  </t>
  </si>
  <si>
    <t>IRM-05910301</t>
  </si>
  <si>
    <t>IF-015=SAPH440 NPO - 4.5 X 236 X 580  </t>
  </si>
  <si>
    <t>DV61626 BZ121</t>
  </si>
  <si>
    <t>AAS-072=EXTENSION QUARTER PANEL RR LH  </t>
  </si>
  <si>
    <t>PICA JULI 2024</t>
  </si>
  <si>
    <t>Ka. Div</t>
  </si>
  <si>
    <t>AGUSTUS</t>
  </si>
  <si>
    <t>SEPTEMBER</t>
  </si>
  <si>
    <t>OKTOBER</t>
  </si>
  <si>
    <t>NOVEMBER</t>
  </si>
  <si>
    <t xml:space="preserve">DESEMBER </t>
  </si>
  <si>
    <t>DESEMBER</t>
  </si>
  <si>
    <t>ACHIEVEMENT REPORT OF ONE YEAR POLICY 2026</t>
  </si>
  <si>
    <t>PICA JANUARI 2026</t>
  </si>
  <si>
    <t>PICA FEBRUARI 2026</t>
  </si>
  <si>
    <t>PICA MARET 2026</t>
  </si>
  <si>
    <t>PICA APRIL 2026</t>
  </si>
  <si>
    <t>Bekasi, 01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</si>
</sst>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%"/>
    <numFmt numFmtId="168" formatCode="&quot;Rp&quot;##,##0_);[Red]\(&quot;Rp&quot;#,##0\)"/>
    <numFmt numFmtId="169" formatCode="&quot;Rp&quot;_#\,##0_);\(&quot;Rp&quot;_#\,##0\)"/>
    <numFmt numFmtId="170" formatCode="0.0000%"/>
    <numFmt numFmtId="171" formatCode="&quot;Rp&quot;_#\,##0_);[Red]\(&quot;Rp&quot;_#\,##0\)"/>
    <numFmt numFmtId="172" formatCode="0.000%"/>
  </numFmts>
  <fonts count="6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b/>
      <sz val="22"/>
      <color theme="1"/>
      <name val="Calibri"/>
      <family val="2"/>
      <scheme val="minor"/>
    </font>
    <font>
      <sz val="9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9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9">
    <xf numFmtId="0" fontId="0" fillId="0" borderId="0"/>
    <xf numFmtId="164" fontId="36" fillId="0" borderId="0" applyFont="0" applyFill="0" applyBorder="0" applyAlignment="0" applyProtection="0"/>
    <xf numFmtId="168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36" fillId="0" borderId="0"/>
    <xf numFmtId="0" fontId="41" fillId="0" borderId="0"/>
    <xf numFmtId="0" fontId="38" fillId="0" borderId="0"/>
    <xf numFmtId="0" fontId="40" fillId="0" borderId="0"/>
    <xf numFmtId="0" fontId="36" fillId="0" borderId="0"/>
    <xf numFmtId="9" fontId="3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6" fillId="0" borderId="0"/>
    <xf numFmtId="170" fontId="37" fillId="0" borderId="0" applyFont="0" applyFill="0" applyBorder="0" applyAlignment="0" applyProtection="0"/>
    <xf numFmtId="171" fontId="37" fillId="0" borderId="0" applyFont="0" applyFill="0" applyBorder="0" applyAlignment="0" applyProtection="0"/>
    <xf numFmtId="0" fontId="35" fillId="0" borderId="0"/>
    <xf numFmtId="43" fontId="36" fillId="0" borderId="0" applyFont="0" applyFill="0" applyBorder="0" applyAlignment="0" applyProtection="0"/>
    <xf numFmtId="0" fontId="34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1" fontId="36" fillId="0" borderId="0" applyFont="0" applyFill="0" applyBorder="0" applyAlignment="0" applyProtection="0"/>
    <xf numFmtId="40" fontId="38" fillId="0" borderId="0" applyFont="0" applyFill="0" applyBorder="0" applyAlignment="0" applyProtection="0"/>
    <xf numFmtId="0" fontId="27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4" fillId="0" borderId="0"/>
    <xf numFmtId="43" fontId="4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6" fillId="0" borderId="0"/>
    <xf numFmtId="164" fontId="36" fillId="0" borderId="0" applyFont="0" applyFill="0" applyBorder="0" applyAlignment="0" applyProtection="0"/>
    <xf numFmtId="0" fontId="11" fillId="0" borderId="0"/>
    <xf numFmtId="9" fontId="3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36" fillId="0" borderId="0" applyFont="0" applyFill="0" applyBorder="0" applyAlignment="0" applyProtection="0"/>
    <xf numFmtId="0" fontId="10" fillId="0" borderId="0"/>
    <xf numFmtId="0" fontId="36" fillId="0" borderId="0"/>
    <xf numFmtId="0" fontId="9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43" fontId="36" fillId="0" borderId="0" applyFont="0" applyFill="0" applyBorder="0" applyAlignment="0" applyProtection="0"/>
    <xf numFmtId="0" fontId="5" fillId="0" borderId="0"/>
    <xf numFmtId="0" fontId="5" fillId="0" borderId="0"/>
    <xf numFmtId="43" fontId="3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1" fontId="36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230">
    <xf numFmtId="0" fontId="0" fillId="0" borderId="0" xfId="0"/>
    <xf numFmtId="0" fontId="42" fillId="0" borderId="1" xfId="0" applyFont="1" applyFill="1" applyBorder="1" applyAlignment="1">
      <alignment vertical="center"/>
    </xf>
    <xf numFmtId="0" fontId="42" fillId="0" borderId="2" xfId="0" applyFont="1" applyFill="1" applyBorder="1" applyAlignment="1">
      <alignment vertical="center"/>
    </xf>
    <xf numFmtId="165" fontId="42" fillId="0" borderId="2" xfId="1" applyNumberFormat="1" applyFont="1" applyFill="1" applyBorder="1" applyAlignment="1">
      <alignment vertical="center"/>
    </xf>
    <xf numFmtId="0" fontId="42" fillId="0" borderId="2" xfId="0" applyFont="1" applyFill="1" applyBorder="1" applyAlignment="1">
      <alignment horizontal="center" vertical="center"/>
    </xf>
    <xf numFmtId="0" fontId="42" fillId="0" borderId="3" xfId="0" applyFont="1" applyFill="1" applyBorder="1" applyAlignment="1">
      <alignment vertical="center"/>
    </xf>
    <xf numFmtId="0" fontId="42" fillId="0" borderId="0" xfId="0" applyFont="1" applyFill="1" applyAlignment="1">
      <alignment vertical="center"/>
    </xf>
    <xf numFmtId="0" fontId="42" fillId="0" borderId="4" xfId="0" applyFont="1" applyFill="1" applyBorder="1" applyAlignment="1">
      <alignment vertical="center"/>
    </xf>
    <xf numFmtId="0" fontId="42" fillId="0" borderId="5" xfId="0" applyFont="1" applyFill="1" applyBorder="1" applyAlignment="1">
      <alignment vertical="center"/>
    </xf>
    <xf numFmtId="0" fontId="43" fillId="0" borderId="6" xfId="0" applyFont="1" applyFill="1" applyBorder="1" applyAlignment="1">
      <alignment horizontal="centerContinuous" vertical="center"/>
    </xf>
    <xf numFmtId="0" fontId="42" fillId="0" borderId="7" xfId="0" applyFont="1" applyFill="1" applyBorder="1" applyAlignment="1">
      <alignment vertical="center"/>
    </xf>
    <xf numFmtId="0" fontId="43" fillId="0" borderId="8" xfId="0" applyFont="1" applyFill="1" applyBorder="1" applyAlignment="1">
      <alignment horizontal="left" vertical="center"/>
    </xf>
    <xf numFmtId="0" fontId="43" fillId="0" borderId="9" xfId="0" applyFont="1" applyFill="1" applyBorder="1" applyAlignment="1">
      <alignment horizontal="center" vertical="center"/>
    </xf>
    <xf numFmtId="0" fontId="43" fillId="0" borderId="9" xfId="0" applyFont="1" applyFill="1" applyBorder="1" applyAlignment="1">
      <alignment horizontal="center" vertical="center" wrapText="1"/>
    </xf>
    <xf numFmtId="0" fontId="43" fillId="0" borderId="9" xfId="0" applyFont="1" applyFill="1" applyBorder="1" applyAlignment="1">
      <alignment horizontal="centerContinuous" vertical="center"/>
    </xf>
    <xf numFmtId="0" fontId="42" fillId="0" borderId="10" xfId="0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166" fontId="42" fillId="0" borderId="0" xfId="0" applyNumberFormat="1" applyFont="1" applyFill="1" applyAlignment="1">
      <alignment vertical="center"/>
    </xf>
    <xf numFmtId="1" fontId="42" fillId="0" borderId="11" xfId="0" applyNumberFormat="1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vertical="center"/>
    </xf>
    <xf numFmtId="2" fontId="42" fillId="0" borderId="10" xfId="0" applyNumberFormat="1" applyFont="1" applyFill="1" applyBorder="1" applyAlignment="1">
      <alignment horizontal="center" vertical="center"/>
    </xf>
    <xf numFmtId="2" fontId="42" fillId="0" borderId="11" xfId="0" applyNumberFormat="1" applyFont="1" applyFill="1" applyBorder="1" applyAlignment="1">
      <alignment horizontal="center" vertical="center"/>
    </xf>
    <xf numFmtId="0" fontId="44" fillId="0" borderId="7" xfId="0" applyFont="1" applyFill="1" applyBorder="1" applyAlignment="1">
      <alignment vertical="center"/>
    </xf>
    <xf numFmtId="10" fontId="42" fillId="0" borderId="10" xfId="0" applyNumberFormat="1" applyFont="1" applyFill="1" applyBorder="1" applyAlignment="1">
      <alignment horizontal="center" vertical="center"/>
    </xf>
    <xf numFmtId="10" fontId="42" fillId="0" borderId="11" xfId="9" applyNumberFormat="1" applyFont="1" applyFill="1" applyBorder="1" applyAlignment="1">
      <alignment horizontal="center" vertical="center"/>
    </xf>
    <xf numFmtId="172" fontId="42" fillId="0" borderId="10" xfId="9" applyNumberFormat="1" applyFont="1" applyFill="1" applyBorder="1" applyAlignment="1">
      <alignment horizontal="center" vertical="center"/>
    </xf>
    <xf numFmtId="0" fontId="42" fillId="0" borderId="14" xfId="0" applyFont="1" applyFill="1" applyBorder="1" applyAlignment="1">
      <alignment vertical="center"/>
    </xf>
    <xf numFmtId="0" fontId="42" fillId="0" borderId="15" xfId="0" applyFont="1" applyFill="1" applyBorder="1" applyAlignment="1">
      <alignment horizontal="center" vertical="center"/>
    </xf>
    <xf numFmtId="0" fontId="42" fillId="0" borderId="16" xfId="0" applyFont="1" applyFill="1" applyBorder="1" applyAlignment="1">
      <alignment vertical="center"/>
    </xf>
    <xf numFmtId="0" fontId="42" fillId="0" borderId="17" xfId="0" applyFont="1" applyFill="1" applyBorder="1" applyAlignment="1">
      <alignment vertical="center"/>
    </xf>
    <xf numFmtId="0" fontId="42" fillId="0" borderId="17" xfId="0" applyFont="1" applyFill="1" applyBorder="1" applyAlignment="1">
      <alignment horizontal="center" vertical="center"/>
    </xf>
    <xf numFmtId="0" fontId="42" fillId="0" borderId="18" xfId="0" applyFont="1" applyFill="1" applyBorder="1" applyAlignment="1">
      <alignment vertical="center"/>
    </xf>
    <xf numFmtId="0" fontId="42" fillId="0" borderId="0" xfId="0" applyFont="1" applyFill="1" applyAlignment="1">
      <alignment horizontal="center" vertical="center"/>
    </xf>
    <xf numFmtId="3" fontId="42" fillId="0" borderId="0" xfId="0" applyNumberFormat="1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0" fontId="46" fillId="0" borderId="0" xfId="0" applyFont="1" applyFill="1" applyAlignment="1">
      <alignment horizontal="center" vertical="center" readingOrder="1"/>
    </xf>
    <xf numFmtId="0" fontId="43" fillId="0" borderId="7" xfId="0" applyFont="1" applyFill="1" applyBorder="1" applyAlignment="1">
      <alignment vertical="center"/>
    </xf>
    <xf numFmtId="0" fontId="43" fillId="0" borderId="6" xfId="0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41" fillId="0" borderId="0" xfId="0" applyFont="1"/>
    <xf numFmtId="0" fontId="41" fillId="0" borderId="0" xfId="0" applyFont="1" applyAlignment="1">
      <alignment horizontal="center"/>
    </xf>
    <xf numFmtId="0" fontId="48" fillId="0" borderId="6" xfId="0" applyFont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/>
    <xf numFmtId="0" fontId="41" fillId="0" borderId="6" xfId="0" applyFont="1" applyFill="1" applyBorder="1" applyAlignment="1">
      <alignment horizontal="center"/>
    </xf>
    <xf numFmtId="0" fontId="41" fillId="0" borderId="0" xfId="0" applyFont="1" applyFill="1" applyAlignment="1">
      <alignment horizontal="center"/>
    </xf>
    <xf numFmtId="0" fontId="49" fillId="0" borderId="19" xfId="4" applyFont="1" applyFill="1" applyBorder="1" applyAlignment="1">
      <alignment vertical="center"/>
    </xf>
    <xf numFmtId="0" fontId="49" fillId="0" borderId="6" xfId="4" applyFont="1" applyFill="1" applyBorder="1" applyAlignment="1">
      <alignment vertical="center"/>
    </xf>
    <xf numFmtId="3" fontId="0" fillId="2" borderId="6" xfId="0" applyNumberFormat="1" applyFill="1" applyBorder="1" applyAlignment="1">
      <alignment horizontal="center" vertical="center"/>
    </xf>
    <xf numFmtId="3" fontId="41" fillId="0" borderId="0" xfId="0" applyNumberFormat="1" applyFont="1" applyAlignment="1">
      <alignment horizontal="center"/>
    </xf>
    <xf numFmtId="0" fontId="49" fillId="0" borderId="9" xfId="4" applyFont="1" applyFill="1" applyBorder="1" applyAlignment="1">
      <alignment vertical="center"/>
    </xf>
    <xf numFmtId="0" fontId="49" fillId="0" borderId="20" xfId="4" applyFont="1" applyFill="1" applyBorder="1" applyAlignment="1">
      <alignment horizontal="left"/>
    </xf>
    <xf numFmtId="0" fontId="49" fillId="0" borderId="6" xfId="4" applyFont="1" applyFill="1" applyBorder="1" applyAlignment="1">
      <alignment horizontal="left"/>
    </xf>
    <xf numFmtId="3" fontId="50" fillId="3" borderId="6" xfId="11" applyNumberFormat="1" applyFont="1" applyFill="1" applyBorder="1" applyAlignment="1">
      <alignment horizontal="center" vertical="center"/>
    </xf>
    <xf numFmtId="0" fontId="0" fillId="0" borderId="0" xfId="0" applyFill="1"/>
    <xf numFmtId="3" fontId="0" fillId="0" borderId="0" xfId="0" applyNumberFormat="1" applyFill="1" applyAlignment="1">
      <alignment horizontal="center" vertical="center"/>
    </xf>
    <xf numFmtId="3" fontId="50" fillId="3" borderId="6" xfId="0" applyNumberFormat="1" applyFont="1" applyFill="1" applyBorder="1" applyAlignment="1">
      <alignment horizontal="center" vertical="center"/>
    </xf>
    <xf numFmtId="0" fontId="41" fillId="0" borderId="0" xfId="0" applyFont="1" applyFill="1"/>
    <xf numFmtId="0" fontId="49" fillId="4" borderId="6" xfId="4" applyFont="1" applyFill="1" applyBorder="1" applyAlignment="1">
      <alignment vertical="center"/>
    </xf>
    <xf numFmtId="3" fontId="0" fillId="4" borderId="6" xfId="0" applyNumberFormat="1" applyFill="1" applyBorder="1" applyAlignment="1">
      <alignment horizontal="center" vertical="center"/>
    </xf>
    <xf numFmtId="0" fontId="47" fillId="0" borderId="0" xfId="0" applyFont="1" applyAlignment="1">
      <alignment horizontal="left"/>
    </xf>
    <xf numFmtId="0" fontId="51" fillId="0" borderId="6" xfId="0" applyFont="1" applyBorder="1" applyAlignment="1">
      <alignment horizontal="center"/>
    </xf>
    <xf numFmtId="0" fontId="41" fillId="0" borderId="6" xfId="0" applyFont="1" applyBorder="1"/>
    <xf numFmtId="0" fontId="41" fillId="0" borderId="6" xfId="0" applyFont="1" applyBorder="1" applyAlignment="1">
      <alignment horizontal="center"/>
    </xf>
    <xf numFmtId="3" fontId="41" fillId="2" borderId="6" xfId="0" applyNumberFormat="1" applyFont="1" applyFill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3" fontId="50" fillId="3" borderId="6" xfId="0" applyNumberFormat="1" applyFont="1" applyFill="1" applyBorder="1" applyAlignment="1">
      <alignment horizontal="center"/>
    </xf>
    <xf numFmtId="167" fontId="50" fillId="3" borderId="6" xfId="11" applyNumberFormat="1" applyFont="1" applyFill="1" applyBorder="1" applyAlignment="1">
      <alignment horizontal="center"/>
    </xf>
    <xf numFmtId="10" fontId="50" fillId="3" borderId="6" xfId="11" applyNumberFormat="1" applyFont="1" applyFill="1" applyBorder="1" applyAlignment="1">
      <alignment horizontal="center"/>
    </xf>
    <xf numFmtId="9" fontId="50" fillId="3" borderId="6" xfId="11" applyNumberFormat="1" applyFont="1" applyFill="1" applyBorder="1" applyAlignment="1">
      <alignment horizontal="center"/>
    </xf>
    <xf numFmtId="172" fontId="50" fillId="3" borderId="6" xfId="11" applyNumberFormat="1" applyFont="1" applyFill="1" applyBorder="1" applyAlignment="1">
      <alignment horizontal="center"/>
    </xf>
    <xf numFmtId="3" fontId="41" fillId="4" borderId="6" xfId="0" applyNumberFormat="1" applyFont="1" applyFill="1" applyBorder="1" applyAlignment="1">
      <alignment horizontal="center"/>
    </xf>
    <xf numFmtId="1" fontId="42" fillId="0" borderId="10" xfId="0" applyNumberFormat="1" applyFont="1" applyFill="1" applyBorder="1" applyAlignment="1">
      <alignment horizontal="center" vertical="center"/>
    </xf>
    <xf numFmtId="10" fontId="42" fillId="0" borderId="10" xfId="9" applyNumberFormat="1" applyFont="1" applyFill="1" applyBorder="1" applyAlignment="1">
      <alignment horizontal="center" vertical="center"/>
    </xf>
    <xf numFmtId="0" fontId="47" fillId="0" borderId="0" xfId="0" applyFont="1" applyFill="1" applyAlignment="1">
      <alignment horizontal="center"/>
    </xf>
    <xf numFmtId="0" fontId="49" fillId="6" borderId="6" xfId="4" applyFont="1" applyFill="1" applyBorder="1" applyAlignment="1">
      <alignment horizontal="left"/>
    </xf>
    <xf numFmtId="3" fontId="50" fillId="6" borderId="6" xfId="11" applyNumberFormat="1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vertical="center"/>
    </xf>
    <xf numFmtId="0" fontId="42" fillId="5" borderId="10" xfId="0" applyFont="1" applyFill="1" applyBorder="1" applyAlignment="1">
      <alignment horizontal="center" vertical="center"/>
    </xf>
    <xf numFmtId="1" fontId="42" fillId="5" borderId="10" xfId="0" applyNumberFormat="1" applyFont="1" applyFill="1" applyBorder="1" applyAlignment="1">
      <alignment horizontal="center" vertical="center"/>
    </xf>
    <xf numFmtId="10" fontId="42" fillId="5" borderId="11" xfId="0" applyNumberFormat="1" applyFont="1" applyFill="1" applyBorder="1" applyAlignment="1">
      <alignment horizontal="center" vertical="center"/>
    </xf>
    <xf numFmtId="10" fontId="42" fillId="5" borderId="10" xfId="9" applyNumberFormat="1" applyFont="1" applyFill="1" applyBorder="1" applyAlignment="1">
      <alignment horizontal="center" vertical="center"/>
    </xf>
    <xf numFmtId="10" fontId="42" fillId="5" borderId="13" xfId="9" applyNumberFormat="1" applyFon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28" fillId="4" borderId="6" xfId="0" applyNumberFormat="1" applyFont="1" applyFill="1" applyBorder="1" applyAlignment="1">
      <alignment horizontal="center"/>
    </xf>
    <xf numFmtId="3" fontId="28" fillId="4" borderId="6" xfId="0" applyNumberFormat="1" applyFont="1" applyFill="1" applyBorder="1" applyAlignment="1">
      <alignment horizontal="center"/>
    </xf>
    <xf numFmtId="10" fontId="42" fillId="5" borderId="10" xfId="0" applyNumberFormat="1" applyFont="1" applyFill="1" applyBorder="1" applyAlignment="1">
      <alignment horizontal="center" vertical="center"/>
    </xf>
    <xf numFmtId="10" fontId="42" fillId="0" borderId="0" xfId="9" applyNumberFormat="1" applyFont="1" applyFill="1" applyAlignment="1">
      <alignment vertical="center"/>
    </xf>
    <xf numFmtId="10" fontId="42" fillId="0" borderId="0" xfId="9" applyNumberFormat="1" applyFont="1" applyFill="1" applyAlignment="1">
      <alignment horizontal="center" vertical="center"/>
    </xf>
    <xf numFmtId="172" fontId="42" fillId="0" borderId="0" xfId="9" applyNumberFormat="1" applyFont="1" applyFill="1" applyAlignment="1">
      <alignment horizontal="center" vertical="center"/>
    </xf>
    <xf numFmtId="10" fontId="42" fillId="0" borderId="0" xfId="0" applyNumberFormat="1" applyFont="1" applyFill="1" applyAlignment="1">
      <alignment vertical="center"/>
    </xf>
    <xf numFmtId="172" fontId="50" fillId="4" borderId="6" xfId="11" applyNumberFormat="1" applyFont="1" applyFill="1" applyBorder="1" applyAlignment="1">
      <alignment horizontal="center"/>
    </xf>
    <xf numFmtId="3" fontId="14" fillId="2" borderId="6" xfId="0" applyNumberFormat="1" applyFont="1" applyFill="1" applyBorder="1" applyAlignment="1">
      <alignment horizontal="center"/>
    </xf>
    <xf numFmtId="167" fontId="50" fillId="7" borderId="6" xfId="11" applyNumberFormat="1" applyFont="1" applyFill="1" applyBorder="1" applyAlignment="1">
      <alignment horizontal="center"/>
    </xf>
    <xf numFmtId="10" fontId="50" fillId="7" borderId="6" xfId="11" applyNumberFormat="1" applyFont="1" applyFill="1" applyBorder="1" applyAlignment="1">
      <alignment horizontal="center"/>
    </xf>
    <xf numFmtId="9" fontId="50" fillId="7" borderId="6" xfId="11" applyNumberFormat="1" applyFont="1" applyFill="1" applyBorder="1" applyAlignment="1">
      <alignment horizontal="center"/>
    </xf>
    <xf numFmtId="0" fontId="42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left" vertical="center"/>
    </xf>
    <xf numFmtId="3" fontId="41" fillId="0" borderId="0" xfId="0" applyNumberFormat="1" applyFont="1"/>
    <xf numFmtId="3" fontId="41" fillId="0" borderId="0" xfId="0" applyNumberFormat="1" applyFont="1" applyFill="1" applyAlignment="1">
      <alignment horizontal="center"/>
    </xf>
    <xf numFmtId="3" fontId="0" fillId="0" borderId="0" xfId="0" applyNumberFormat="1"/>
    <xf numFmtId="172" fontId="41" fillId="0" borderId="0" xfId="9" applyNumberFormat="1" applyFont="1"/>
    <xf numFmtId="172" fontId="0" fillId="0" borderId="0" xfId="9" applyNumberFormat="1" applyFont="1"/>
    <xf numFmtId="170" fontId="50" fillId="3" borderId="6" xfId="11" applyNumberFormat="1" applyFont="1" applyFill="1" applyBorder="1" applyAlignment="1">
      <alignment horizontal="center"/>
    </xf>
    <xf numFmtId="170" fontId="0" fillId="0" borderId="0" xfId="9" applyNumberFormat="1" applyFont="1"/>
    <xf numFmtId="1" fontId="42" fillId="0" borderId="0" xfId="0" applyNumberFormat="1" applyFont="1" applyFill="1" applyAlignment="1">
      <alignment vertical="center"/>
    </xf>
    <xf numFmtId="10" fontId="52" fillId="0" borderId="10" xfId="0" applyNumberFormat="1" applyFont="1" applyFill="1" applyBorder="1" applyAlignment="1">
      <alignment horizontal="center" vertical="center"/>
    </xf>
    <xf numFmtId="0" fontId="53" fillId="0" borderId="0" xfId="94" applyFont="1"/>
    <xf numFmtId="0" fontId="7" fillId="0" borderId="0" xfId="94"/>
    <xf numFmtId="0" fontId="7" fillId="0" borderId="0" xfId="94" applyAlignment="1">
      <alignment horizontal="center"/>
    </xf>
    <xf numFmtId="3" fontId="7" fillId="0" borderId="0" xfId="94" applyNumberFormat="1"/>
    <xf numFmtId="0" fontId="7" fillId="0" borderId="6" xfId="94" applyBorder="1" applyAlignment="1">
      <alignment horizontal="center"/>
    </xf>
    <xf numFmtId="0" fontId="7" fillId="0" borderId="6" xfId="94" applyBorder="1"/>
    <xf numFmtId="3" fontId="7" fillId="0" borderId="6" xfId="94" applyNumberFormat="1" applyBorder="1"/>
    <xf numFmtId="3" fontId="51" fillId="4" borderId="6" xfId="94" applyNumberFormat="1" applyFont="1" applyFill="1" applyBorder="1" applyAlignment="1">
      <alignment horizontal="center"/>
    </xf>
    <xf numFmtId="3" fontId="51" fillId="7" borderId="6" xfId="94" applyNumberFormat="1" applyFont="1" applyFill="1" applyBorder="1" applyAlignment="1">
      <alignment horizontal="center"/>
    </xf>
    <xf numFmtId="10" fontId="51" fillId="7" borderId="6" xfId="95" applyNumberFormat="1" applyFont="1" applyFill="1" applyBorder="1" applyAlignment="1">
      <alignment horizontal="center"/>
    </xf>
    <xf numFmtId="3" fontId="47" fillId="5" borderId="6" xfId="94" applyNumberFormat="1" applyFont="1" applyFill="1" applyBorder="1" applyAlignment="1">
      <alignment horizontal="center" vertical="center"/>
    </xf>
    <xf numFmtId="10" fontId="54" fillId="0" borderId="10" xfId="9" applyNumberFormat="1" applyFont="1" applyFill="1" applyBorder="1" applyAlignment="1">
      <alignment horizontal="center" vertical="center"/>
    </xf>
    <xf numFmtId="10" fontId="54" fillId="0" borderId="13" xfId="9" applyNumberFormat="1" applyFont="1" applyFill="1" applyBorder="1" applyAlignment="1">
      <alignment horizontal="center" vertical="center"/>
    </xf>
    <xf numFmtId="10" fontId="54" fillId="0" borderId="10" xfId="0" applyNumberFormat="1" applyFont="1" applyFill="1" applyBorder="1" applyAlignment="1">
      <alignment horizontal="center" vertical="center"/>
    </xf>
    <xf numFmtId="1" fontId="54" fillId="0" borderId="10" xfId="0" applyNumberFormat="1" applyFont="1" applyFill="1" applyBorder="1" applyAlignment="1">
      <alignment horizontal="center" vertical="center"/>
    </xf>
    <xf numFmtId="3" fontId="51" fillId="5" borderId="6" xfId="94" applyNumberFormat="1" applyFont="1" applyFill="1" applyBorder="1" applyAlignment="1">
      <alignment vertical="center"/>
    </xf>
    <xf numFmtId="0" fontId="7" fillId="0" borderId="6" xfId="94" applyBorder="1" applyAlignment="1">
      <alignment horizontal="left"/>
    </xf>
    <xf numFmtId="0" fontId="0" fillId="0" borderId="6" xfId="0" applyBorder="1" applyAlignment="1">
      <alignment horizontal="center"/>
    </xf>
    <xf numFmtId="0" fontId="55" fillId="0" borderId="6" xfId="0" applyFont="1" applyFill="1" applyBorder="1"/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0" fillId="4" borderId="6" xfId="0" applyNumberFormat="1" applyFill="1" applyBorder="1"/>
    <xf numFmtId="3" fontId="51" fillId="5" borderId="0" xfId="94" applyNumberFormat="1" applyFont="1" applyFill="1" applyBorder="1" applyAlignment="1">
      <alignment vertical="center"/>
    </xf>
    <xf numFmtId="3" fontId="51" fillId="7" borderId="0" xfId="94" applyNumberFormat="1" applyFont="1" applyFill="1" applyBorder="1" applyAlignment="1">
      <alignment horizontal="center"/>
    </xf>
    <xf numFmtId="3" fontId="51" fillId="5" borderId="6" xfId="94" applyNumberFormat="1" applyFont="1" applyFill="1" applyBorder="1" applyAlignment="1">
      <alignment horizontal="center" vertical="center"/>
    </xf>
    <xf numFmtId="3" fontId="7" fillId="0" borderId="0" xfId="94" applyNumberFormat="1" applyFill="1"/>
    <xf numFmtId="0" fontId="7" fillId="0" borderId="0" xfId="94" applyFill="1"/>
    <xf numFmtId="0" fontId="7" fillId="0" borderId="0" xfId="94" applyFill="1" applyAlignment="1">
      <alignment horizontal="center" vertical="center"/>
    </xf>
    <xf numFmtId="0" fontId="0" fillId="0" borderId="6" xfId="0" applyBorder="1"/>
    <xf numFmtId="0" fontId="55" fillId="0" borderId="28" xfId="0" applyFont="1" applyFill="1" applyBorder="1"/>
    <xf numFmtId="0" fontId="0" fillId="4" borderId="6" xfId="0" applyFill="1" applyBorder="1" applyAlignment="1">
      <alignment horizontal="left"/>
    </xf>
    <xf numFmtId="0" fontId="0" fillId="0" borderId="6" xfId="0" applyFill="1" applyBorder="1"/>
    <xf numFmtId="0" fontId="0" fillId="0" borderId="6" xfId="0" applyFill="1" applyBorder="1" applyAlignment="1">
      <alignment horizontal="left"/>
    </xf>
    <xf numFmtId="0" fontId="0" fillId="0" borderId="6" xfId="0" applyNumberFormat="1" applyFill="1" applyBorder="1"/>
    <xf numFmtId="0" fontId="4" fillId="0" borderId="6" xfId="94" applyFont="1" applyBorder="1"/>
    <xf numFmtId="0" fontId="57" fillId="0" borderId="6" xfId="107" applyFont="1" applyFill="1" applyBorder="1" applyAlignment="1">
      <alignment horizontal="center" vertical="center" wrapText="1" readingOrder="1"/>
    </xf>
    <xf numFmtId="10" fontId="57" fillId="0" borderId="6" xfId="107" applyNumberFormat="1" applyFont="1" applyFill="1" applyBorder="1" applyAlignment="1">
      <alignment horizontal="center" vertical="center" wrapText="1" readingOrder="1"/>
    </xf>
    <xf numFmtId="0" fontId="57" fillId="0" borderId="6" xfId="107" applyFont="1" applyFill="1" applyBorder="1" applyAlignment="1">
      <alignment horizontal="left" vertical="center" wrapText="1" readingOrder="1"/>
    </xf>
    <xf numFmtId="0" fontId="57" fillId="0" borderId="6" xfId="107" applyFont="1" applyBorder="1" applyAlignment="1">
      <alignment horizontal="left" vertical="center" wrapText="1" readingOrder="1"/>
    </xf>
    <xf numFmtId="0" fontId="57" fillId="0" borderId="6" xfId="107" applyFont="1" applyBorder="1" applyAlignment="1">
      <alignment horizontal="center" vertical="center" wrapText="1" readingOrder="1"/>
    </xf>
    <xf numFmtId="14" fontId="57" fillId="0" borderId="6" xfId="107" applyNumberFormat="1" applyFont="1" applyBorder="1" applyAlignment="1">
      <alignment horizontal="center" vertical="center" wrapText="1" readingOrder="1"/>
    </xf>
    <xf numFmtId="0" fontId="57" fillId="0" borderId="6" xfId="107" applyFont="1" applyBorder="1" applyAlignment="1">
      <alignment horizontal="left" vertical="top" wrapText="1" readingOrder="1"/>
    </xf>
    <xf numFmtId="14" fontId="57" fillId="0" borderId="6" xfId="107" applyNumberFormat="1" applyFont="1" applyBorder="1" applyAlignment="1">
      <alignment horizontal="left" vertical="center" wrapText="1" readingOrder="1"/>
    </xf>
    <xf numFmtId="0" fontId="58" fillId="0" borderId="0" xfId="107" applyFont="1"/>
    <xf numFmtId="0" fontId="49" fillId="0" borderId="0" xfId="107" applyFont="1"/>
    <xf numFmtId="0" fontId="57" fillId="0" borderId="6" xfId="107" applyFont="1" applyBorder="1" applyAlignment="1">
      <alignment horizontal="left" vertical="center" wrapText="1"/>
    </xf>
    <xf numFmtId="14" fontId="57" fillId="0" borderId="6" xfId="107" applyNumberFormat="1" applyFont="1" applyBorder="1" applyAlignment="1">
      <alignment horizontal="center" vertical="center" wrapText="1"/>
    </xf>
    <xf numFmtId="14" fontId="57" fillId="0" borderId="6" xfId="107" applyNumberFormat="1" applyFont="1" applyFill="1" applyBorder="1" applyAlignment="1">
      <alignment horizontal="center" vertical="center" wrapText="1" readingOrder="1"/>
    </xf>
    <xf numFmtId="10" fontId="41" fillId="0" borderId="0" xfId="9" applyNumberFormat="1" applyFont="1"/>
    <xf numFmtId="3" fontId="59" fillId="0" borderId="6" xfId="11" applyNumberFormat="1" applyFont="1" applyFill="1" applyBorder="1" applyAlignment="1">
      <alignment horizontal="center" vertical="center"/>
    </xf>
    <xf numFmtId="0" fontId="60" fillId="0" borderId="6" xfId="0" applyFont="1" applyBorder="1"/>
    <xf numFmtId="0" fontId="60" fillId="0" borderId="0" xfId="0" applyFont="1"/>
    <xf numFmtId="0" fontId="60" fillId="0" borderId="0" xfId="0" applyFont="1" applyAlignment="1">
      <alignment horizontal="center"/>
    </xf>
    <xf numFmtId="10" fontId="60" fillId="0" borderId="6" xfId="9" applyNumberFormat="1" applyFont="1" applyBorder="1" applyAlignment="1">
      <alignment horizontal="center"/>
    </xf>
    <xf numFmtId="172" fontId="60" fillId="0" borderId="6" xfId="9" applyNumberFormat="1" applyFont="1" applyBorder="1" applyAlignment="1">
      <alignment horizontal="center"/>
    </xf>
    <xf numFmtId="0" fontId="60" fillId="0" borderId="0" xfId="0" applyFont="1" applyAlignment="1">
      <alignment vertical="center"/>
    </xf>
    <xf numFmtId="0" fontId="60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0" fontId="60" fillId="0" borderId="6" xfId="9" applyNumberFormat="1" applyFont="1" applyBorder="1" applyAlignment="1">
      <alignment horizontal="center" vertical="center"/>
    </xf>
    <xf numFmtId="3" fontId="7" fillId="0" borderId="6" xfId="94" applyNumberFormat="1" applyBorder="1" applyAlignment="1">
      <alignment horizontal="center" vertical="center"/>
    </xf>
    <xf numFmtId="0" fontId="55" fillId="0" borderId="0" xfId="0" applyFont="1" applyFill="1" applyBorder="1"/>
    <xf numFmtId="3" fontId="7" fillId="0" borderId="6" xfId="94" applyNumberFormat="1" applyFill="1" applyBorder="1"/>
    <xf numFmtId="3" fontId="7" fillId="0" borderId="28" xfId="94" applyNumberFormat="1" applyFill="1" applyBorder="1"/>
    <xf numFmtId="3" fontId="7" fillId="0" borderId="0" xfId="94" applyNumberFormat="1" applyFill="1" applyBorder="1"/>
    <xf numFmtId="0" fontId="61" fillId="0" borderId="0" xfId="0" applyFont="1" applyAlignment="1">
      <alignment vertical="top" wrapText="1"/>
    </xf>
    <xf numFmtId="3" fontId="7" fillId="0" borderId="0" xfId="94" applyNumberFormat="1" applyBorder="1" applyAlignment="1">
      <alignment horizontal="center" vertical="center"/>
    </xf>
    <xf numFmtId="3" fontId="51" fillId="4" borderId="0" xfId="94" applyNumberFormat="1" applyFont="1" applyFill="1" applyBorder="1" applyAlignment="1">
      <alignment horizontal="center"/>
    </xf>
    <xf numFmtId="10" fontId="51" fillId="7" borderId="0" xfId="95" applyNumberFormat="1" applyFont="1" applyFill="1" applyBorder="1" applyAlignment="1">
      <alignment horizontal="center"/>
    </xf>
    <xf numFmtId="10" fontId="54" fillId="5" borderId="13" xfId="9" applyNumberFormat="1" applyFont="1" applyFill="1" applyBorder="1" applyAlignment="1">
      <alignment horizontal="center" vertical="center"/>
    </xf>
    <xf numFmtId="10" fontId="52" fillId="0" borderId="10" xfId="9" applyNumberFormat="1" applyFont="1" applyFill="1" applyBorder="1" applyAlignment="1">
      <alignment horizontal="center" vertical="center"/>
    </xf>
    <xf numFmtId="10" fontId="52" fillId="5" borderId="11" xfId="0" applyNumberFormat="1" applyFont="1" applyFill="1" applyBorder="1" applyAlignment="1">
      <alignment horizontal="center" vertical="center"/>
    </xf>
    <xf numFmtId="10" fontId="52" fillId="0" borderId="13" xfId="9" applyNumberFormat="1" applyFont="1" applyFill="1" applyBorder="1" applyAlignment="1">
      <alignment horizontal="center" vertical="center"/>
    </xf>
    <xf numFmtId="10" fontId="54" fillId="5" borderId="10" xfId="0" applyNumberFormat="1" applyFont="1" applyFill="1" applyBorder="1" applyAlignment="1">
      <alignment horizontal="center" vertical="center"/>
    </xf>
    <xf numFmtId="0" fontId="57" fillId="0" borderId="6" xfId="107" applyFont="1" applyFill="1" applyBorder="1" applyAlignment="1">
      <alignment horizontal="center" vertical="center" wrapText="1" readingOrder="1"/>
    </xf>
    <xf numFmtId="1" fontId="57" fillId="0" borderId="6" xfId="107" applyNumberFormat="1" applyFont="1" applyFill="1" applyBorder="1" applyAlignment="1">
      <alignment horizontal="center" vertical="center" wrapText="1" readingOrder="1"/>
    </xf>
    <xf numFmtId="0" fontId="43" fillId="0" borderId="6" xfId="0" applyFont="1" applyFill="1" applyBorder="1" applyAlignment="1">
      <alignment horizontal="center" vertical="center"/>
    </xf>
    <xf numFmtId="0" fontId="46" fillId="0" borderId="21" xfId="0" applyFont="1" applyFill="1" applyBorder="1" applyAlignment="1">
      <alignment horizontal="center" vertical="center"/>
    </xf>
    <xf numFmtId="0" fontId="46" fillId="0" borderId="22" xfId="0" applyFont="1" applyFill="1" applyBorder="1" applyAlignment="1">
      <alignment horizontal="center" vertical="center"/>
    </xf>
    <xf numFmtId="0" fontId="46" fillId="0" borderId="23" xfId="0" applyFont="1" applyFill="1" applyBorder="1" applyAlignment="1">
      <alignment horizontal="center" vertical="center"/>
    </xf>
    <xf numFmtId="0" fontId="46" fillId="0" borderId="8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46" fillId="0" borderId="24" xfId="0" applyFont="1" applyFill="1" applyBorder="1" applyAlignment="1">
      <alignment horizontal="center" vertical="center"/>
    </xf>
    <xf numFmtId="0" fontId="42" fillId="0" borderId="25" xfId="0" applyFont="1" applyFill="1" applyBorder="1" applyAlignment="1">
      <alignment vertical="center"/>
    </xf>
    <xf numFmtId="0" fontId="42" fillId="0" borderId="26" xfId="0" applyFont="1" applyFill="1" applyBorder="1" applyAlignment="1">
      <alignment vertical="center"/>
    </xf>
    <xf numFmtId="0" fontId="42" fillId="0" borderId="27" xfId="0" applyFont="1" applyFill="1" applyBorder="1" applyAlignment="1">
      <alignment vertical="center"/>
    </xf>
    <xf numFmtId="0" fontId="43" fillId="0" borderId="6" xfId="0" applyFont="1" applyFill="1" applyBorder="1" applyAlignment="1">
      <alignment horizontal="center" vertical="center"/>
    </xf>
    <xf numFmtId="0" fontId="43" fillId="0" borderId="6" xfId="0" applyFont="1" applyFill="1" applyBorder="1" applyAlignment="1">
      <alignment horizontal="center" vertical="center" wrapText="1"/>
    </xf>
    <xf numFmtId="0" fontId="43" fillId="0" borderId="28" xfId="0" applyFont="1" applyFill="1" applyBorder="1" applyAlignment="1">
      <alignment horizontal="center" vertical="center"/>
    </xf>
    <xf numFmtId="0" fontId="43" fillId="0" borderId="30" xfId="0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42" fillId="0" borderId="21" xfId="0" applyFont="1" applyFill="1" applyBorder="1" applyAlignment="1">
      <alignment horizontal="center" vertical="center"/>
    </xf>
    <xf numFmtId="0" fontId="42" fillId="0" borderId="23" xfId="0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0" fontId="42" fillId="0" borderId="24" xfId="0" applyFont="1" applyFill="1" applyBorder="1" applyAlignment="1">
      <alignment horizontal="center" vertical="center"/>
    </xf>
    <xf numFmtId="0" fontId="42" fillId="0" borderId="25" xfId="0" applyFont="1" applyFill="1" applyBorder="1" applyAlignment="1">
      <alignment horizontal="center" vertical="center"/>
    </xf>
    <xf numFmtId="0" fontId="42" fillId="0" borderId="27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9" fillId="0" borderId="19" xfId="4" applyFont="1" applyFill="1" applyBorder="1" applyAlignment="1">
      <alignment horizontal="center" vertical="center"/>
    </xf>
    <xf numFmtId="0" fontId="49" fillId="0" borderId="9" xfId="4" applyFont="1" applyFill="1" applyBorder="1" applyAlignment="1">
      <alignment horizontal="center" vertical="center"/>
    </xf>
    <xf numFmtId="0" fontId="49" fillId="0" borderId="20" xfId="4" applyFont="1" applyFill="1" applyBorder="1" applyAlignment="1">
      <alignment horizontal="center" vertical="center"/>
    </xf>
    <xf numFmtId="0" fontId="48" fillId="0" borderId="6" xfId="0" applyFont="1" applyBorder="1" applyAlignment="1">
      <alignment horizontal="center"/>
    </xf>
    <xf numFmtId="0" fontId="49" fillId="6" borderId="6" xfId="4" applyFont="1" applyFill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60" fillId="3" borderId="28" xfId="0" applyFont="1" applyFill="1" applyBorder="1" applyAlignment="1">
      <alignment horizontal="center" vertical="center"/>
    </xf>
    <xf numFmtId="0" fontId="60" fillId="3" borderId="30" xfId="0" applyFont="1" applyFill="1" applyBorder="1" applyAlignment="1">
      <alignment horizontal="center" vertical="center"/>
    </xf>
    <xf numFmtId="0" fontId="60" fillId="3" borderId="29" xfId="0" applyFont="1" applyFill="1" applyBorder="1" applyAlignment="1">
      <alignment horizontal="center" vertical="center"/>
    </xf>
    <xf numFmtId="0" fontId="56" fillId="8" borderId="6" xfId="107" applyFont="1" applyFill="1" applyBorder="1" applyAlignment="1">
      <alignment horizontal="center" vertical="center" wrapText="1" readingOrder="1"/>
    </xf>
    <xf numFmtId="0" fontId="57" fillId="10" borderId="6" xfId="107" applyFont="1" applyFill="1" applyBorder="1" applyAlignment="1">
      <alignment horizontal="center" vertical="center" wrapText="1" readingOrder="1"/>
    </xf>
    <xf numFmtId="10" fontId="57" fillId="0" borderId="6" xfId="107" applyNumberFormat="1" applyFont="1" applyBorder="1" applyAlignment="1">
      <alignment horizontal="center" vertical="center" wrapText="1" readingOrder="1"/>
    </xf>
    <xf numFmtId="10" fontId="57" fillId="0" borderId="6" xfId="107" applyNumberFormat="1" applyFont="1" applyFill="1" applyBorder="1" applyAlignment="1">
      <alignment horizontal="center" vertical="center" wrapText="1" readingOrder="1"/>
    </xf>
    <xf numFmtId="0" fontId="57" fillId="0" borderId="6" xfId="107" applyFont="1" applyBorder="1" applyAlignment="1">
      <alignment horizontal="center" vertical="center" wrapText="1" readingOrder="1"/>
    </xf>
    <xf numFmtId="14" fontId="57" fillId="0" borderId="6" xfId="107" applyNumberFormat="1" applyFont="1" applyBorder="1" applyAlignment="1">
      <alignment horizontal="center" vertical="center" wrapText="1" readingOrder="1"/>
    </xf>
    <xf numFmtId="10" fontId="57" fillId="0" borderId="6" xfId="107" applyNumberFormat="1" applyFont="1" applyBorder="1" applyAlignment="1">
      <alignment horizontal="center" vertical="center" wrapText="1"/>
    </xf>
    <xf numFmtId="0" fontId="57" fillId="0" borderId="6" xfId="107" applyFont="1" applyBorder="1" applyAlignment="1">
      <alignment horizontal="left" vertical="center" wrapText="1" readingOrder="1"/>
    </xf>
    <xf numFmtId="0" fontId="57" fillId="9" borderId="6" xfId="107" applyFont="1" applyFill="1" applyBorder="1" applyAlignment="1">
      <alignment horizontal="center" vertical="center" wrapText="1" readingOrder="1"/>
    </xf>
    <xf numFmtId="3" fontId="47" fillId="5" borderId="28" xfId="94" applyNumberFormat="1" applyFont="1" applyFill="1" applyBorder="1" applyAlignment="1">
      <alignment horizontal="center" vertical="center"/>
    </xf>
    <xf numFmtId="3" fontId="47" fillId="5" borderId="30" xfId="94" applyNumberFormat="1" applyFont="1" applyFill="1" applyBorder="1" applyAlignment="1">
      <alignment horizontal="center" vertical="center"/>
    </xf>
    <xf numFmtId="3" fontId="47" fillId="5" borderId="29" xfId="94" applyNumberFormat="1" applyFont="1" applyFill="1" applyBorder="1" applyAlignment="1">
      <alignment horizontal="center" vertical="center"/>
    </xf>
    <xf numFmtId="0" fontId="47" fillId="5" borderId="6" xfId="94" applyFont="1" applyFill="1" applyBorder="1" applyAlignment="1">
      <alignment horizontal="center" vertical="center"/>
    </xf>
  </cellXfs>
  <cellStyles count="109">
    <cellStyle name="Comma" xfId="1" builtinId="3"/>
    <cellStyle name="Comma [0] 2" xfId="30"/>
    <cellStyle name="Comma [0] 3" xfId="105"/>
    <cellStyle name="Comma 2" xfId="16"/>
    <cellStyle name="Comma 2 2" xfId="100"/>
    <cellStyle name="Comma 3" xfId="31"/>
    <cellStyle name="Comma 4" xfId="43"/>
    <cellStyle name="Comma 4 2" xfId="75"/>
    <cellStyle name="Comma 5" xfId="89"/>
    <cellStyle name="Comma 6" xfId="97"/>
    <cellStyle name="Dezimal [0]_35ERI8T2gbIEMixb4v26icuOo" xfId="2"/>
    <cellStyle name="Dezimal_35ERI8T2gbIEMixb4v26icuOo" xfId="3"/>
    <cellStyle name="Normal" xfId="0" builtinId="0"/>
    <cellStyle name="Normal 10" xfId="66"/>
    <cellStyle name="Normal 11" xfId="94"/>
    <cellStyle name="Normal 2" xfId="4"/>
    <cellStyle name="Normal 2 2" xfId="5"/>
    <cellStyle name="Normal 2 2 2" xfId="17"/>
    <cellStyle name="Normal 2 2 2 2" xfId="26"/>
    <cellStyle name="Normal 2 2 2 2 2" xfId="86"/>
    <cellStyle name="Normal 2 2 2 2 2 2" xfId="91"/>
    <cellStyle name="Normal 2 2 2 3" xfId="80"/>
    <cellStyle name="Normal 2 2 2 4" xfId="101"/>
    <cellStyle name="Normal 2 2 20" xfId="6"/>
    <cellStyle name="Normal 2 2 3" xfId="24"/>
    <cellStyle name="Normal 2 2 3 2" xfId="84"/>
    <cellStyle name="Normal 2 2 4" xfId="76"/>
    <cellStyle name="Normal 2 2 5" xfId="98"/>
    <cellStyle name="Normal 2 4" xfId="41"/>
    <cellStyle name="Normal 3" xfId="7"/>
    <cellStyle name="Normal 4" xfId="15"/>
    <cellStyle name="Normal 4 2" xfId="18"/>
    <cellStyle name="Normal 4 2 2" xfId="27"/>
    <cellStyle name="Normal 4 2 2 2" xfId="87"/>
    <cellStyle name="Normal 4 2 3" xfId="81"/>
    <cellStyle name="Normal 4 2 4" xfId="102"/>
    <cellStyle name="Normal 4 3" xfId="25"/>
    <cellStyle name="Normal 4 3 2" xfId="85"/>
    <cellStyle name="Normal 4 4" xfId="79"/>
    <cellStyle name="Normal 4 5" xfId="99"/>
    <cellStyle name="Normal 5" xfId="8"/>
    <cellStyle name="Normal 6" xfId="19"/>
    <cellStyle name="Normal 6 2" xfId="28"/>
    <cellStyle name="Normal 6 2 2" xfId="88"/>
    <cellStyle name="Normal 6 3" xfId="36"/>
    <cellStyle name="Normal 6 4" xfId="46"/>
    <cellStyle name="Normal 6 5" xfId="62"/>
    <cellStyle name="Normal 6 6" xfId="69"/>
    <cellStyle name="Normal 6 7" xfId="103"/>
    <cellStyle name="Normal 7" xfId="20"/>
    <cellStyle name="Normal 7 10" xfId="50"/>
    <cellStyle name="Normal 7 10 2" xfId="78"/>
    <cellStyle name="Normal 7 11" xfId="51"/>
    <cellStyle name="Normal 7 12" xfId="54"/>
    <cellStyle name="Normal 7 13" xfId="56"/>
    <cellStyle name="Normal 7 14" xfId="57"/>
    <cellStyle name="Normal 7 15" xfId="58"/>
    <cellStyle name="Normal 7 16" xfId="59"/>
    <cellStyle name="Normal 7 17" xfId="82"/>
    <cellStyle name="Normal 7 18" xfId="90"/>
    <cellStyle name="Normal 7 19" xfId="92"/>
    <cellStyle name="Normal 7 2" xfId="21"/>
    <cellStyle name="Normal 7 2 2" xfId="83"/>
    <cellStyle name="Normal 7 20" xfId="93"/>
    <cellStyle name="Normal 7 21" xfId="96"/>
    <cellStyle name="Normal 7 22" xfId="104"/>
    <cellStyle name="Normal 7 22 2" xfId="106"/>
    <cellStyle name="Normal 7 23" xfId="107"/>
    <cellStyle name="Normal 7 24" xfId="108"/>
    <cellStyle name="Normal 7 3" xfId="22"/>
    <cellStyle name="Normal 7 3 2" xfId="37"/>
    <cellStyle name="Normal 7 3 3" xfId="47"/>
    <cellStyle name="Normal 7 3 4" xfId="63"/>
    <cellStyle name="Normal 7 3 5" xfId="70"/>
    <cellStyle name="Normal 7 4" xfId="23"/>
    <cellStyle name="Normal 7 4 2" xfId="35"/>
    <cellStyle name="Normal 7 4 3" xfId="45"/>
    <cellStyle name="Normal 7 4 4" xfId="61"/>
    <cellStyle name="Normal 7 4 5" xfId="68"/>
    <cellStyle name="Normal 7 5" xfId="29"/>
    <cellStyle name="Normal 7 5 2" xfId="38"/>
    <cellStyle name="Normal 7 5 3" xfId="65"/>
    <cellStyle name="Normal 7 5 4" xfId="71"/>
    <cellStyle name="Normal 7 6" xfId="32"/>
    <cellStyle name="Normal 7 6 2" xfId="39"/>
    <cellStyle name="Normal 7 6 3" xfId="48"/>
    <cellStyle name="Normal 7 6 4" xfId="64"/>
    <cellStyle name="Normal 7 6 5" xfId="72"/>
    <cellStyle name="Normal 7 7" xfId="33"/>
    <cellStyle name="Normal 7 7 2" xfId="34"/>
    <cellStyle name="Normal 7 7 3" xfId="44"/>
    <cellStyle name="Normal 7 7 4" xfId="60"/>
    <cellStyle name="Normal 7 7 5" xfId="67"/>
    <cellStyle name="Normal 7 8" xfId="42"/>
    <cellStyle name="Normal 7 9" xfId="49"/>
    <cellStyle name="Normal 8" xfId="52"/>
    <cellStyle name="Normal 8 2" xfId="74"/>
    <cellStyle name="Normal 9" xfId="55"/>
    <cellStyle name="Percent" xfId="9" builtinId="5"/>
    <cellStyle name="Percent 2" xfId="10"/>
    <cellStyle name="Percent 3" xfId="11"/>
    <cellStyle name="Percent 4" xfId="40"/>
    <cellStyle name="Percent 4 2" xfId="77"/>
    <cellStyle name="Percent 5" xfId="53"/>
    <cellStyle name="Percent 6" xfId="73"/>
    <cellStyle name="Percent 7" xfId="95"/>
    <cellStyle name="Standard_Data" xfId="12"/>
    <cellStyle name="Währung [0]_35ERI8T2gbIEMixb4v26icuOo" xfId="13"/>
    <cellStyle name="Währung_35ERI8T2gbIEMixb4v26icuOo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ccadm\bgt\BUDGET\Report04\Plant3-2004-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seigi17\&#65420;&#65439;&#65434;&#25216;\&#65429;&#65392;&#65403;&#65438;&#65392;\&#35373;&#20633;&#65319;\20&#65420;&#65439;&#65435;&#65404;&#65438;&#65386;&#65400;&#65412;\09_(&#20140;)D&#12521;&#12452;&#12531;&#33258;&#21205;&#21270;\03_&#26908;&#35342;\04_09_29&#29983;&#31649;&#12487;&#12540;&#12479;\D&#65431;&#65394;&#65437;&#31292;&#21205;&#24460;%20&#36000;&#33655;\D&#12521;&#12452;&#12531;&#31292;&#21205;&#24460;&#36000;&#33655;(&#31532;1&#26399;&#35336;&#30011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S-SHOOPFLOOR\Global%20Central%20Control%20Room\Reports\Global%20Central%20Control%20Room\Continous%20Job\2005%20daily%20Control%20Unit\Control%20Unit%20November%202005\Daily%20Control%20Unit%20November%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hmad.ramdani\Desktop\SAP\CEK%20PO\PO%201-31%20JUL%20202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hmad.ramdani\Documents\Download%20Po%201-31%20Agustus%202024%20(Autosaved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f"/>
      <sheetName val="delivery"/>
      <sheetName val="_   "/>
      <sheetName val="Recovered_Sheet1"/>
      <sheetName val="inv"/>
      <sheetName val="bs"/>
      <sheetName val="asset"/>
      <sheetName val="ap"/>
      <sheetName val="ipa"/>
      <sheetName val="prod"/>
      <sheetName val="prod2"/>
      <sheetName val="PRDCOST"/>
      <sheetName val="PRDCOST2"/>
      <sheetName val="UNIT"/>
      <sheetName val="content"/>
      <sheetName val="cover2"/>
      <sheetName val="cover"/>
      <sheetName val="06-11-07.selasa"/>
      <sheetName val="56ARE04"/>
      <sheetName val="工数データ"/>
      <sheetName val="Plant3-2004-9"/>
      <sheetName val="Parts list _060411_"/>
      <sheetName val="590P追加"/>
      <sheetName val="Schedule PM"/>
      <sheetName val="capacity"/>
      <sheetName val="Man power"/>
      <sheetName val="forex"/>
      <sheetName val="DataList"/>
      <sheetName val="Setting"/>
      <sheetName val="ocean voyage"/>
      <sheetName val="バス"/>
      <sheetName val="____"/>
      <sheetName val="A_車種別生産台数"/>
      <sheetName val="E_グラフ表"/>
      <sheetName val="?????"/>
      <sheetName val="dyna"/>
      <sheetName val="投資ﾌｫﾛｰ"/>
      <sheetName val="PR"/>
      <sheetName val="設定一覧"/>
      <sheetName val="Data"/>
      <sheetName val="QUALITY"/>
      <sheetName val="Net Price Position - Sheet 1"/>
      <sheetName val="吊上げパ(20)"/>
      <sheetName val="表紙"/>
      <sheetName val="処理中"/>
      <sheetName val="Work"/>
      <sheetName val="Sort用"/>
      <sheetName val="BhnHikaku"/>
      <sheetName val="Kansei"/>
      <sheetName val="corolla(095W)"/>
      <sheetName val="汎用設備調達日程表"/>
      <sheetName val="06-11-07_selasa"/>
      <sheetName val="Parts_list__060411_"/>
      <sheetName val="Schedule_PM"/>
      <sheetName val="Man_power"/>
      <sheetName val="DBシート"/>
      <sheetName val="Sheet1"/>
      <sheetName val="吊上げパ_20_"/>
      <sheetName val="_____"/>
      <sheetName val="IM"/>
      <sheetName val="IM (in)"/>
      <sheetName val="IM (out)"/>
      <sheetName val="Jour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計算条件(D稼動後)"/>
      <sheetName val="B_計算条件(D稼動前)"/>
      <sheetName val="B級負荷"/>
      <sheetName val="A級負荷"/>
      <sheetName val="Sheet3"/>
      <sheetName val="B_計算条件_D稼動後_"/>
      <sheetName val="List"/>
      <sheetName val="SLSunit"/>
      <sheetName val="BS"/>
      <sheetName val="IS"/>
      <sheetName val="Gen_as"/>
      <sheetName val="393_N"/>
      <sheetName val="AssySupps"/>
      <sheetName val="Rev-0"/>
      <sheetName val="Surat0"/>
      <sheetName val="A衝突改造車の試計書のデータ"/>
      <sheetName val="MARCH-APRIL. 03"/>
      <sheetName val="REVICED"/>
      <sheetName val="Target380NX "/>
      <sheetName val="2002"/>
      <sheetName val="Schedule"/>
      <sheetName val="dyna"/>
      <sheetName val="Draft Vehicle Format"/>
      <sheetName val="parameter"/>
      <sheetName val="2"/>
      <sheetName val="part"/>
      <sheetName val="ocean voyage"/>
      <sheetName val="RM"/>
      <sheetName val="開発目標値"/>
      <sheetName val="Total"/>
      <sheetName val="?????"/>
      <sheetName val="社員リスト"/>
      <sheetName val="汎用設備調達日程表"/>
      <sheetName val="Sheet1"/>
      <sheetName val="Parts list (060411)"/>
      <sheetName val="1"/>
      <sheetName val="corolla(095W)"/>
      <sheetName val="D21Aｶｰｺﾞ　材料ﾃﾞｰﾀ"/>
      <sheetName val="_bulk NEW REVISI"/>
      <sheetName val="BQ-E20-02(Rp)"/>
      <sheetName val="Labul 00"/>
      <sheetName val="data editing"/>
      <sheetName val="生産時間推移"/>
      <sheetName val="Dライン稼動後負荷(第1期計画)"/>
      <sheetName val="Supp_List"/>
      <sheetName val="FINISHING"/>
      <sheetName val="_____"/>
      <sheetName val="Man power"/>
      <sheetName val="SE- PU"/>
      <sheetName val="T-VAN-DM"/>
      <sheetName val="Analisa 2"/>
      <sheetName val="ﾋﾟﾎﾞｯﾄ"/>
      <sheetName val="ｺｰﾄﾞ"/>
      <sheetName val="MARCH-APRIL__03"/>
      <sheetName val="Target380NX_"/>
      <sheetName val="Draft_Vehicle_Format"/>
      <sheetName val="ocean_voyage"/>
      <sheetName val="forex"/>
      <sheetName val="Parts list _060411_"/>
      <sheetName val="Ｘ５８５－１Ｓ (2)"/>
      <sheetName val="Similar"/>
      <sheetName val="Attach(comp)"/>
      <sheetName val="2005．05．26Iwasaki"/>
      <sheetName val="設定一覧"/>
      <sheetName val="01"/>
      <sheetName val="名簿データ"/>
      <sheetName val="DATA "/>
      <sheetName val="taruna sheet"/>
      <sheetName val="吊上げパ(20)"/>
      <sheetName val="F-1 F-2"/>
      <sheetName val="ProdVolume_org"/>
      <sheetName val="press"/>
      <sheetName val="DATA F_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p"/>
      <sheetName val="1p"/>
      <sheetName val="1m"/>
      <sheetName val="1all"/>
      <sheetName val="2p"/>
      <sheetName val="2m"/>
      <sheetName val="2all"/>
      <sheetName val="3p"/>
      <sheetName val="3m"/>
      <sheetName val="3all"/>
      <sheetName val="4m"/>
      <sheetName val="4all"/>
      <sheetName val="5p"/>
      <sheetName val="5m"/>
      <sheetName val="5all"/>
      <sheetName val="6p"/>
      <sheetName val="6m"/>
      <sheetName val="6all"/>
      <sheetName val="7p"/>
      <sheetName val="7m"/>
      <sheetName val="7all"/>
      <sheetName val="8p"/>
      <sheetName val="8m"/>
      <sheetName val="8all"/>
      <sheetName val="9p"/>
      <sheetName val="9m"/>
      <sheetName val="9all"/>
      <sheetName val="10p"/>
      <sheetName val="10m"/>
      <sheetName val="10all"/>
      <sheetName val="11p"/>
      <sheetName val="11m"/>
      <sheetName val="11all"/>
      <sheetName val="12p"/>
      <sheetName val="12m"/>
      <sheetName val="12all"/>
      <sheetName val="13p"/>
      <sheetName val="13m"/>
      <sheetName val="13all"/>
      <sheetName val="14p"/>
      <sheetName val="14m"/>
      <sheetName val="14all"/>
      <sheetName val="15p"/>
      <sheetName val="15m"/>
      <sheetName val="15all"/>
      <sheetName val="16p"/>
      <sheetName val="16m"/>
      <sheetName val="16all"/>
      <sheetName val="17p"/>
      <sheetName val="17m"/>
      <sheetName val="17all"/>
      <sheetName val="18p"/>
      <sheetName val="18m"/>
      <sheetName val="18all"/>
      <sheetName val="19p"/>
      <sheetName val="19m"/>
      <sheetName val="19all"/>
      <sheetName val="20p"/>
      <sheetName val="20m"/>
      <sheetName val="20all"/>
      <sheetName val="21p"/>
      <sheetName val="21m"/>
      <sheetName val="21all"/>
      <sheetName val="22p"/>
      <sheetName val="22m"/>
      <sheetName val="22all"/>
      <sheetName val="23m"/>
      <sheetName val="23p"/>
      <sheetName val="23all"/>
      <sheetName val="24p"/>
      <sheetName val="24m"/>
      <sheetName val="24all"/>
      <sheetName val="25p"/>
      <sheetName val="25m"/>
      <sheetName val="25all"/>
      <sheetName val="26p"/>
      <sheetName val="26m"/>
      <sheetName val="26all"/>
      <sheetName val="27p"/>
      <sheetName val="27m"/>
      <sheetName val="27all"/>
      <sheetName val="28p"/>
      <sheetName val="28m"/>
      <sheetName val="28all"/>
      <sheetName val="29p"/>
      <sheetName val="29m"/>
      <sheetName val="29all"/>
      <sheetName val="30p"/>
      <sheetName val="30m"/>
      <sheetName val="30all"/>
      <sheetName val="31p"/>
      <sheetName val="31m"/>
      <sheetName val="31all"/>
      <sheetName val="03-BP 06 "/>
      <sheetName val="Daily Control Unit November 05"/>
      <sheetName val="Assumptions"/>
      <sheetName val="parameter"/>
      <sheetName val="TKBN_TKBNA"/>
      <sheetName val="Part List Compare Scan _ Plan"/>
      <sheetName val="Proses_Mesin"/>
      <sheetName val="RA A"/>
      <sheetName val="MATERIAL"/>
      <sheetName val="TMS Data"/>
      <sheetName val="Texte"/>
      <sheetName val="Sheet1"/>
      <sheetName val="Supp_List"/>
      <sheetName val="Supp.List"/>
      <sheetName val="CHECKATPPM"/>
      <sheetName val="吊上げパ_20_"/>
      <sheetName val="Draft Vehicle Format"/>
      <sheetName val="吊上げパ(20)"/>
      <sheetName val="中型輸出ﾄﾗｯｸ用ｴﾝｼﾞﾝﾃﾞｰﾀ"/>
      <sheetName val="1"/>
      <sheetName val="Calculation"/>
      <sheetName val="OTHERS x620"/>
      <sheetName val="Print out"/>
      <sheetName val="Agustus"/>
      <sheetName val="Oktober"/>
      <sheetName val="input data"/>
      <sheetName val="Kompensasi SPV"/>
      <sheetName val="input data _2_"/>
      <sheetName val="Juni"/>
      <sheetName val="Juli"/>
      <sheetName val="ocean voyage"/>
      <sheetName val="absen juli"/>
      <sheetName val="ｬｰｴﾀｫeｴ｣"/>
      <sheetName val="FORM ASAKAI PROBLEM"/>
      <sheetName val="汎用設備調達日程表"/>
      <sheetName val="Type I"/>
      <sheetName val="PROCEDUR DESCRIPTION"/>
      <sheetName val="機器整ME"/>
      <sheetName val="T00_TAMWork_konkai"/>
      <sheetName val="DBシート"/>
      <sheetName val="設備分類"/>
      <sheetName val="リンギ"/>
      <sheetName val="個人ｺｰﾄﾞ"/>
      <sheetName val="材料区分配列表"/>
      <sheetName val="設置部署"/>
      <sheetName val="CKD･生産用（ACCESS渡し前）"/>
      <sheetName val="TMMK Vehicle Data"/>
      <sheetName val="TMMC Vehicle Data"/>
      <sheetName val="Comparison data"/>
      <sheetName val="Supplier Master"/>
      <sheetName val="INV "/>
      <sheetName val="Sheet2"/>
      <sheetName val="ラミ"/>
      <sheetName val="2002"/>
      <sheetName val="03-BP_06_"/>
      <sheetName val="Daily_Control_Unit_November_05"/>
      <sheetName val="Part_List_Compare_Scan___Plan"/>
      <sheetName val="RA_A"/>
      <sheetName val="TMS_Data"/>
      <sheetName val="Supp_List1"/>
      <sheetName val="Draft_Vehicle_Format"/>
      <sheetName val="OTHERS_x620"/>
      <sheetName val="Print_out"/>
      <sheetName val="input_data"/>
      <sheetName val="Kompensasi_SPV"/>
      <sheetName val="input_data__2_"/>
      <sheetName val="ocean_voyage"/>
      <sheetName val="absen_juli"/>
      <sheetName val="FORM_ASAKAI_PROBLEM"/>
      <sheetName val="Type_I"/>
      <sheetName val="PROCEDUR_DESCRIPTION"/>
      <sheetName val="supp_name"/>
      <sheetName val="393.N"/>
      <sheetName val="part"/>
      <sheetName val="list"/>
      <sheetName val="Unit Price 96"/>
      <sheetName val="KIJANG"/>
      <sheetName val="REPORT"/>
      <sheetName val="consumable"/>
      <sheetName val="Sheet13"/>
      <sheetName val="DATA SMQR TMMIN MAY"/>
      <sheetName val="TRANSF"/>
      <sheetName val="03-BP_06_1"/>
      <sheetName val="Daily_Control_Unit_November_051"/>
      <sheetName val="Part_List_Compare_Scan___Plan1"/>
      <sheetName val="RA_A1"/>
      <sheetName val="TMS_Data1"/>
      <sheetName val="Supp_List2"/>
      <sheetName val="Draft_Vehicle_Format1"/>
      <sheetName val="OTHERS_x6201"/>
      <sheetName val="Print_out1"/>
      <sheetName val="input_data1"/>
      <sheetName val="Kompensasi_SPV1"/>
      <sheetName val="input_data__2_1"/>
      <sheetName val="ocean_voyage1"/>
      <sheetName val="absen_juli1"/>
      <sheetName val="PROCEDUR_DESCRIPTION1"/>
      <sheetName val="FORM_ASAKAI_PROBLEM1"/>
      <sheetName val="Type_I1"/>
      <sheetName val="TMMK_Vehicle_Data"/>
      <sheetName val="TMMC_Vehicle_Data"/>
      <sheetName val="Comparison_data"/>
      <sheetName val="Supplier_Master"/>
      <sheetName val="INV_"/>
      <sheetName val="393_N"/>
      <sheetName val="Unit_Price_96"/>
      <sheetName val="CalcSI"/>
      <sheetName val="Calc1"/>
      <sheetName val="?????????"/>
      <sheetName val="TMMK_Vehicle_Data1"/>
      <sheetName val="TMMC_Vehicle_Data1"/>
      <sheetName val="Comparison_data1"/>
      <sheetName val="Supplier_Master1"/>
      <sheetName val="INV_1"/>
      <sheetName val="03-BP_06_2"/>
      <sheetName val="Daily_Control_Unit_November_052"/>
      <sheetName val="Part_List_Compare_Scan___Plan2"/>
      <sheetName val="RA_A2"/>
      <sheetName val="Supp_List3"/>
      <sheetName val="TMS_Data2"/>
      <sheetName val="Draft_Vehicle_Format2"/>
      <sheetName val="OTHERS_x6202"/>
      <sheetName val="Print_out2"/>
      <sheetName val="input_data2"/>
      <sheetName val="Kompensasi_SPV2"/>
      <sheetName val="input_data__2_2"/>
      <sheetName val="ocean_voyage2"/>
      <sheetName val="absen_juli2"/>
      <sheetName val="PROCEDUR_DESCRIPTION2"/>
      <sheetName val="FORM_ASAKAI_PROBLEM2"/>
      <sheetName val="Type_I2"/>
      <sheetName val="TMMK_Vehicle_Data2"/>
      <sheetName val="TMMC_Vehicle_Data2"/>
      <sheetName val="Comparison_data2"/>
      <sheetName val="Supplier_Master2"/>
      <sheetName val="INV_2"/>
      <sheetName val="03-BP_06_3"/>
      <sheetName val="Daily_Control_Unit_November_053"/>
      <sheetName val="Part_List_Compare_Scan___Plan3"/>
      <sheetName val="RA_A3"/>
      <sheetName val="TMS_Data3"/>
      <sheetName val="Supp_List4"/>
      <sheetName val="Draft_Vehicle_Format3"/>
      <sheetName val="Print_out3"/>
      <sheetName val="input_data3"/>
      <sheetName val="Kompensasi_SPV3"/>
      <sheetName val="input_data__2_3"/>
      <sheetName val="absen_juli3"/>
      <sheetName val="OTHERS_x6203"/>
      <sheetName val="ocean_voyage3"/>
      <sheetName val="PROCEDUR_DESCRIPTION3"/>
      <sheetName val="FORM_ASAKAI_PROBLEM3"/>
      <sheetName val="Type_I3"/>
      <sheetName val="TMMK_Vehicle_Data3"/>
      <sheetName val="TMMC_Vehicle_Data3"/>
      <sheetName val="Comparison_data3"/>
      <sheetName val="Supplier_Master3"/>
      <sheetName val="INV_3"/>
      <sheetName val="03-BP_06_4"/>
      <sheetName val="Daily_Control_Unit_November_054"/>
      <sheetName val="Part_List_Compare_Scan___Plan4"/>
      <sheetName val="RA_A4"/>
      <sheetName val="TMS_Data4"/>
      <sheetName val="Supp_List5"/>
      <sheetName val="Draft_Vehicle_Format4"/>
      <sheetName val="Print_out4"/>
      <sheetName val="input_data4"/>
      <sheetName val="Kompensasi_SPV4"/>
      <sheetName val="input_data__2_4"/>
      <sheetName val="absen_juli4"/>
      <sheetName val="OTHERS_x6204"/>
      <sheetName val="ocean_voyage4"/>
      <sheetName val="PROCEDUR_DESCRIPTION4"/>
      <sheetName val="FORM_ASAKAI_PROBLEM4"/>
      <sheetName val="Type_I4"/>
      <sheetName val="TMMK_Vehicle_Data4"/>
      <sheetName val="TMMC_Vehicle_Data4"/>
      <sheetName val="Comparison_data4"/>
      <sheetName val="Supplier_Master4"/>
      <sheetName val="INV_4"/>
      <sheetName val="Unit_Price_961"/>
      <sheetName val="AssySupps"/>
      <sheetName val="Total"/>
      <sheetName val="_________"/>
      <sheetName val="売上高表(半期別)"/>
      <sheetName val="Table"/>
      <sheetName val="Monthly RecapLO"/>
      <sheetName val="03-BP_06_5"/>
      <sheetName val="Daily_Control_Unit_November_055"/>
      <sheetName val="Part_List_Compare_Scan___Plan5"/>
      <sheetName val="RA_A5"/>
      <sheetName val="Supp_List6"/>
      <sheetName val="TMS_Data5"/>
      <sheetName val="Draft_Vehicle_Format5"/>
      <sheetName val="OTHERS_x6205"/>
      <sheetName val="Print_out5"/>
      <sheetName val="input_data5"/>
      <sheetName val="Kompensasi_SPV5"/>
      <sheetName val="input_data__2_5"/>
      <sheetName val="ocean_voyage5"/>
      <sheetName val="absen_juli5"/>
      <sheetName val="PROCEDUR_DESCRIPTION5"/>
      <sheetName val="FORM_ASAKAI_PROBLEM5"/>
      <sheetName val="Type_I5"/>
      <sheetName val="TMMK_Vehicle_Data5"/>
      <sheetName val="TMMC_Vehicle_Data5"/>
      <sheetName val="Comparison_data5"/>
      <sheetName val="Supplier_Master5"/>
      <sheetName val="INV_5"/>
      <sheetName val="Unit_Price_962"/>
      <sheetName val="393_N1"/>
      <sheetName val="DATA_SMQR_TMMIN_MAY"/>
      <sheetName val="Monthly_RecapLO"/>
      <sheetName val="塗装ST計算"/>
      <sheetName val="Labul 00"/>
      <sheetName val=""/>
      <sheetName val="03-BP_06_6"/>
      <sheetName val="Daily_Control_Unit_November_056"/>
      <sheetName val="Part_List_Compare_Scan___Plan6"/>
      <sheetName val="RA_A6"/>
      <sheetName val="TMS_Data6"/>
      <sheetName val="Supp_List7"/>
      <sheetName val="Draft_Vehicle_Format6"/>
      <sheetName val="OTHERS_x6206"/>
      <sheetName val="Print_out6"/>
      <sheetName val="input_data6"/>
      <sheetName val="Kompensasi_SPV6"/>
      <sheetName val="input_data__2_6"/>
      <sheetName val="ocean_voyage6"/>
      <sheetName val="absen_juli6"/>
      <sheetName val="PROCEDUR_DESCRIPTION6"/>
      <sheetName val="FORM_ASAKAI_PROBLEM6"/>
      <sheetName val="Type_I6"/>
      <sheetName val="TMMK_Vehicle_Data6"/>
      <sheetName val="TMMC_Vehicle_Data6"/>
      <sheetName val="Comparison_data6"/>
      <sheetName val="Supplier_Master6"/>
      <sheetName val="INV_6"/>
      <sheetName val="393_N2"/>
      <sheetName val="Unit_Price_963"/>
      <sheetName val="DATA_SMQR_TMMIN_MAY1"/>
      <sheetName val="Monthly_RecapLO1"/>
      <sheetName val="Sheet3"/>
      <sheetName val="TIMELINE"/>
      <sheetName val="Arrangement"/>
      <sheetName val="Book(Irregular)"/>
      <sheetName val="03-BP_06_7"/>
      <sheetName val="Daily_Control_Unit_November_057"/>
      <sheetName val="Part_List_Compare_Scan___Plan7"/>
      <sheetName val="RA_A7"/>
      <sheetName val="TMS_Data7"/>
      <sheetName val="Supp_List8"/>
      <sheetName val="Draft_Vehicle_Format7"/>
      <sheetName val="OTHERS_x6207"/>
      <sheetName val="Print_out7"/>
      <sheetName val="input_data7"/>
      <sheetName val="Kompensasi_SPV7"/>
      <sheetName val="input_data__2_7"/>
      <sheetName val="ocean_voyage7"/>
      <sheetName val="absen_juli7"/>
      <sheetName val="PROCEDUR_DESCRIPTION7"/>
      <sheetName val="FORM_ASAKAI_PROBLEM7"/>
      <sheetName val="Type_I7"/>
      <sheetName val="TMMK_Vehicle_Data7"/>
      <sheetName val="TMMC_Vehicle_Data7"/>
      <sheetName val="Comparison_data7"/>
      <sheetName val="Supplier_Master7"/>
      <sheetName val="INV_7"/>
      <sheetName val="393_N3"/>
      <sheetName val="Unit_Price_964"/>
      <sheetName val="DATA_SMQR_TMMIN_MAY2"/>
      <sheetName val="Monthly_RecapLO2"/>
      <sheetName val="Labul_00"/>
      <sheetName val="03-BP_06_8"/>
      <sheetName val="Daily_Control_Unit_November_058"/>
      <sheetName val="Part_List_Compare_Scan___Plan8"/>
      <sheetName val="RA_A8"/>
      <sheetName val="TMS_Data8"/>
      <sheetName val="Supp_List9"/>
      <sheetName val="Draft_Vehicle_Format8"/>
      <sheetName val="OTHERS_x6208"/>
      <sheetName val="Print_out8"/>
      <sheetName val="input_data8"/>
      <sheetName val="Kompensasi_SPV8"/>
      <sheetName val="input_data__2_8"/>
      <sheetName val="ocean_voyage8"/>
      <sheetName val="absen_juli8"/>
      <sheetName val="PROCEDUR_DESCRIPTION8"/>
      <sheetName val="FORM_ASAKAI_PROBLEM8"/>
      <sheetName val="Type_I8"/>
      <sheetName val="TMMK_Vehicle_Data8"/>
      <sheetName val="TMMC_Vehicle_Data8"/>
      <sheetName val="Comparison_data8"/>
      <sheetName val="Supplier_Master8"/>
      <sheetName val="INV_8"/>
      <sheetName val="393_N4"/>
      <sheetName val="Unit_Price_965"/>
      <sheetName val="DATA_SMQR_TMMIN_MAY3"/>
      <sheetName val="Monthly_RecapLO3"/>
      <sheetName val="Labul_001"/>
      <sheetName val="03-BP_06_9"/>
      <sheetName val="Daily_Control_Unit_November_059"/>
      <sheetName val="Part_List_Compare_Scan___Plan9"/>
      <sheetName val="RA_A9"/>
      <sheetName val="Supp_List10"/>
      <sheetName val="TMS_Data9"/>
      <sheetName val="Draft_Vehicle_Format9"/>
      <sheetName val="OTHERS_x6209"/>
      <sheetName val="Print_out9"/>
      <sheetName val="input_data9"/>
      <sheetName val="Kompensasi_SPV9"/>
      <sheetName val="input_data__2_9"/>
      <sheetName val="ocean_voyage9"/>
      <sheetName val="absen_juli9"/>
      <sheetName val="PROCEDUR_DESCRIPTION9"/>
      <sheetName val="FORM_ASAKAI_PROBLEM9"/>
      <sheetName val="Type_I9"/>
      <sheetName val="TMMK_Vehicle_Data9"/>
      <sheetName val="TMMC_Vehicle_Data9"/>
      <sheetName val="Comparison_data9"/>
      <sheetName val="Supplier_Master9"/>
      <sheetName val="INV_9"/>
      <sheetName val="Unit_Price_966"/>
      <sheetName val="393_N5"/>
      <sheetName val="DATA_SMQR_TMMIN_MAY4"/>
      <sheetName val="Monthly_RecapLO4"/>
      <sheetName val="Labul_002"/>
      <sheetName val="DATA BASE"/>
      <sheetName val="ヘッダ"/>
      <sheetName val="03-BP_06_12"/>
      <sheetName val="Daily_Control_Unit_November_012"/>
      <sheetName val="Part_List_Compare_Scan___Plan12"/>
      <sheetName val="RA_A12"/>
      <sheetName val="TMS_Data12"/>
      <sheetName val="Supp_List13"/>
      <sheetName val="Draft_Vehicle_Format12"/>
      <sheetName val="OTHERS_x62012"/>
      <sheetName val="Print_out12"/>
      <sheetName val="input_data12"/>
      <sheetName val="Kompensasi_SPV12"/>
      <sheetName val="input_data__2_12"/>
      <sheetName val="ocean_voyage12"/>
      <sheetName val="absen_juli12"/>
      <sheetName val="PROCEDUR_DESCRIPTION12"/>
      <sheetName val="FORM_ASAKAI_PROBLEM12"/>
      <sheetName val="Type_I12"/>
      <sheetName val="TMMK_Vehicle_Data12"/>
      <sheetName val="TMMC_Vehicle_Data12"/>
      <sheetName val="Comparison_data12"/>
      <sheetName val="Supplier_Master12"/>
      <sheetName val="INV_12"/>
      <sheetName val="393_N8"/>
      <sheetName val="Unit_Price_969"/>
      <sheetName val="DATA_SMQR_TMMIN_MAY7"/>
      <sheetName val="Monthly_RecapLO7"/>
      <sheetName val="Labul_005"/>
      <sheetName val="03-BP_06_11"/>
      <sheetName val="Daily_Control_Unit_November_011"/>
      <sheetName val="Part_List_Compare_Scan___Plan11"/>
      <sheetName val="RA_A11"/>
      <sheetName val="TMS_Data11"/>
      <sheetName val="Supp_List12"/>
      <sheetName val="Draft_Vehicle_Format11"/>
      <sheetName val="OTHERS_x62011"/>
      <sheetName val="Print_out11"/>
      <sheetName val="input_data11"/>
      <sheetName val="Kompensasi_SPV11"/>
      <sheetName val="input_data__2_11"/>
      <sheetName val="ocean_voyage11"/>
      <sheetName val="absen_juli11"/>
      <sheetName val="PROCEDUR_DESCRIPTION11"/>
      <sheetName val="FORM_ASAKAI_PROBLEM11"/>
      <sheetName val="Type_I11"/>
      <sheetName val="TMMK_Vehicle_Data11"/>
      <sheetName val="TMMC_Vehicle_Data11"/>
      <sheetName val="Comparison_data11"/>
      <sheetName val="Supplier_Master11"/>
      <sheetName val="INV_11"/>
      <sheetName val="393_N7"/>
      <sheetName val="Unit_Price_968"/>
      <sheetName val="DATA_SMQR_TMMIN_MAY6"/>
      <sheetName val="Monthly_RecapLO6"/>
      <sheetName val="Labul_004"/>
      <sheetName val="03-BP_06_10"/>
      <sheetName val="Daily_Control_Unit_November_010"/>
      <sheetName val="Part_List_Compare_Scan___Plan10"/>
      <sheetName val="RA_A10"/>
      <sheetName val="Supp_List11"/>
      <sheetName val="TMS_Data10"/>
      <sheetName val="Draft_Vehicle_Format10"/>
      <sheetName val="OTHERS_x62010"/>
      <sheetName val="Print_out10"/>
      <sheetName val="input_data10"/>
      <sheetName val="Kompensasi_SPV10"/>
      <sheetName val="input_data__2_10"/>
      <sheetName val="ocean_voyage10"/>
      <sheetName val="absen_juli10"/>
      <sheetName val="PROCEDUR_DESCRIPTION10"/>
      <sheetName val="FORM_ASAKAI_PROBLEM10"/>
      <sheetName val="Type_I10"/>
      <sheetName val="TMMK_Vehicle_Data10"/>
      <sheetName val="TMMC_Vehicle_Data10"/>
      <sheetName val="Comparison_data10"/>
      <sheetName val="Supplier_Master10"/>
      <sheetName val="INV_10"/>
      <sheetName val="Unit_Price_967"/>
      <sheetName val="393_N6"/>
      <sheetName val="DATA_SMQR_TMMIN_MAY5"/>
      <sheetName val="Monthly_RecapLO5"/>
      <sheetName val="Labul_003"/>
      <sheetName val="BY CATEGORY"/>
      <sheetName val="03-BP_06_13"/>
      <sheetName val="Daily_Control_Unit_November_013"/>
      <sheetName val="Part_List_Compare_Scan___Plan13"/>
      <sheetName val="RA_A13"/>
      <sheetName val="Supp_List14"/>
      <sheetName val="TMS_Data13"/>
      <sheetName val="Draft_Vehicle_Format13"/>
      <sheetName val="OTHERS_x62013"/>
      <sheetName val="Print_out13"/>
      <sheetName val="input_data13"/>
      <sheetName val="Kompensasi_SPV13"/>
      <sheetName val="input_data__2_13"/>
      <sheetName val="ocean_voyage13"/>
      <sheetName val="absen_juli13"/>
      <sheetName val="PROCEDUR_DESCRIPTION13"/>
      <sheetName val="FORM_ASAKAI_PROBLEM13"/>
      <sheetName val="Type_I13"/>
      <sheetName val="TMMK_Vehicle_Data13"/>
      <sheetName val="TMMC_Vehicle_Data13"/>
      <sheetName val="Comparison_data13"/>
      <sheetName val="Supplier_Master13"/>
      <sheetName val="INV_13"/>
      <sheetName val="Unit_Price_9610"/>
      <sheetName val="393_N9"/>
      <sheetName val="DATA_SMQR_TMMIN_MAY8"/>
      <sheetName val="Monthly_RecapLO8"/>
      <sheetName val="Labul_006"/>
      <sheetName val="03-BP_06_14"/>
      <sheetName val="Daily_Control_Unit_November_014"/>
      <sheetName val="Part_List_Compare_Scan___Plan14"/>
      <sheetName val="RA_A14"/>
      <sheetName val="TMS_Data14"/>
      <sheetName val="Supp_List15"/>
      <sheetName val="Draft_Vehicle_Format14"/>
      <sheetName val="OTHERS_x62014"/>
      <sheetName val="Print_out14"/>
      <sheetName val="input_data14"/>
      <sheetName val="Kompensasi_SPV14"/>
      <sheetName val="input_data__2_14"/>
      <sheetName val="ocean_voyage14"/>
      <sheetName val="absen_juli14"/>
      <sheetName val="PROCEDUR_DESCRIPTION14"/>
      <sheetName val="FORM_ASAKAI_PROBLEM14"/>
      <sheetName val="Type_I14"/>
      <sheetName val="TMMK_Vehicle_Data14"/>
      <sheetName val="TMMC_Vehicle_Data14"/>
      <sheetName val="Comparison_data14"/>
      <sheetName val="Supplier_Master14"/>
      <sheetName val="INV_14"/>
      <sheetName val="Unit_Price_9611"/>
      <sheetName val="393_N10"/>
      <sheetName val="DATA_SMQR_TMMIN_MAY9"/>
      <sheetName val="Monthly_RecapLO9"/>
      <sheetName val="Labul_007"/>
      <sheetName val="03-BP_06_15"/>
      <sheetName val="Daily_Control_Unit_November_015"/>
      <sheetName val="Part_List_Compare_Scan___Plan15"/>
      <sheetName val="RA_A15"/>
      <sheetName val="TMS_Data15"/>
      <sheetName val="Supp_List16"/>
      <sheetName val="Draft_Vehicle_Format15"/>
      <sheetName val="OTHERS_x62015"/>
      <sheetName val="Print_out15"/>
      <sheetName val="input_data15"/>
      <sheetName val="Kompensasi_SPV15"/>
      <sheetName val="input_data__2_15"/>
      <sheetName val="ocean_voyage15"/>
      <sheetName val="absen_juli15"/>
      <sheetName val="PROCEDUR_DESCRIPTION15"/>
      <sheetName val="FORM_ASAKAI_PROBLEM15"/>
      <sheetName val="Type_I15"/>
      <sheetName val="TMMK_Vehicle_Data15"/>
      <sheetName val="TMMC_Vehicle_Data15"/>
      <sheetName val="Comparison_data15"/>
      <sheetName val="Supplier_Master15"/>
      <sheetName val="INV_15"/>
      <sheetName val="Unit_Price_9612"/>
      <sheetName val="393_N11"/>
      <sheetName val="DATA_SMQR_TMMIN_MAY10"/>
      <sheetName val="Monthly_RecapLO10"/>
      <sheetName val="Labul_008"/>
      <sheetName val="DATA_BASE"/>
      <sheetName val="03-BP_06_16"/>
      <sheetName val="Daily_Control_Unit_November_016"/>
      <sheetName val="Part_List_Compare_Scan___Plan16"/>
      <sheetName val="RA_A16"/>
      <sheetName val="TMS_Data16"/>
      <sheetName val="Supp_List17"/>
      <sheetName val="Draft_Vehicle_Format16"/>
      <sheetName val="OTHERS_x62016"/>
      <sheetName val="Print_out16"/>
      <sheetName val="input_data16"/>
      <sheetName val="Kompensasi_SPV16"/>
      <sheetName val="input_data__2_16"/>
      <sheetName val="ocean_voyage16"/>
      <sheetName val="absen_juli16"/>
      <sheetName val="PROCEDUR_DESCRIPTION16"/>
      <sheetName val="FORM_ASAKAI_PROBLEM16"/>
      <sheetName val="Type_I16"/>
      <sheetName val="TMMK_Vehicle_Data16"/>
      <sheetName val="TMMC_Vehicle_Data16"/>
      <sheetName val="Comparison_data16"/>
      <sheetName val="Supplier_Master16"/>
      <sheetName val="INV_16"/>
      <sheetName val="Unit_Price_9613"/>
      <sheetName val="393_N12"/>
      <sheetName val="DATA_SMQR_TMMIN_MAY11"/>
      <sheetName val="Monthly_RecapLO11"/>
      <sheetName val="Labul_009"/>
      <sheetName val="DATA_BASE1"/>
      <sheetName val="03-BP_06_17"/>
      <sheetName val="Daily_Control_Unit_November_017"/>
      <sheetName val="Part_List_Compare_Scan___Plan17"/>
      <sheetName val="RA_A17"/>
      <sheetName val="TMS_Data17"/>
      <sheetName val="Supp_List18"/>
      <sheetName val="Draft_Vehicle_Format17"/>
      <sheetName val="OTHERS_x62017"/>
      <sheetName val="Print_out17"/>
      <sheetName val="input_data17"/>
      <sheetName val="Kompensasi_SPV17"/>
      <sheetName val="input_data__2_17"/>
      <sheetName val="ocean_voyage17"/>
      <sheetName val="absen_juli17"/>
      <sheetName val="PROCEDUR_DESCRIPTION17"/>
      <sheetName val="FORM_ASAKAI_PROBLEM17"/>
      <sheetName val="Type_I17"/>
      <sheetName val="TMMK_Vehicle_Data17"/>
      <sheetName val="TMMC_Vehicle_Data17"/>
      <sheetName val="Comparison_data17"/>
      <sheetName val="Supplier_Master17"/>
      <sheetName val="INV_17"/>
      <sheetName val="393_N13"/>
      <sheetName val="Unit_Price_9614"/>
      <sheetName val="DATA_SMQR_TMMIN_MAY12"/>
      <sheetName val="Monthly_RecapLO12"/>
      <sheetName val="Labul_0010"/>
      <sheetName val="03-BP_06_18"/>
      <sheetName val="Daily_Control_Unit_November_018"/>
      <sheetName val="Part_List_Compare_Scan___Plan18"/>
      <sheetName val="RA_A18"/>
      <sheetName val="TMS_Data18"/>
      <sheetName val="Supp_List19"/>
      <sheetName val="Draft_Vehicle_Format18"/>
      <sheetName val="OTHERS_x62018"/>
      <sheetName val="Print_out18"/>
      <sheetName val="input_data18"/>
      <sheetName val="Kompensasi_SPV18"/>
      <sheetName val="input_data__2_18"/>
      <sheetName val="ocean_voyage18"/>
      <sheetName val="absen_juli18"/>
      <sheetName val="PROCEDUR_DESCRIPTION18"/>
      <sheetName val="FORM_ASAKAI_PROBLEM18"/>
      <sheetName val="Type_I18"/>
      <sheetName val="TMMK_Vehicle_Data18"/>
      <sheetName val="TMMC_Vehicle_Data18"/>
      <sheetName val="Comparison_data18"/>
      <sheetName val="Supplier_Master18"/>
      <sheetName val="INV_18"/>
      <sheetName val="Unit_Price_9615"/>
      <sheetName val="393_N14"/>
      <sheetName val="DATA_SMQR_TMMIN_MAY13"/>
      <sheetName val="Monthly_RecapLO13"/>
      <sheetName val="Labul_0011"/>
      <sheetName val="DATA_BASE2"/>
      <sheetName val="03-BP_06_19"/>
      <sheetName val="Daily_Control_Unit_November_019"/>
      <sheetName val="Part_List_Compare_Scan___Plan19"/>
      <sheetName val="RA_A19"/>
      <sheetName val="Supp_List20"/>
      <sheetName val="TMS_Data19"/>
      <sheetName val="Draft_Vehicle_Format19"/>
      <sheetName val="OTHERS_x62019"/>
      <sheetName val="Print_out19"/>
      <sheetName val="input_data19"/>
      <sheetName val="Kompensasi_SPV19"/>
      <sheetName val="input_data__2_19"/>
      <sheetName val="ocean_voyage19"/>
      <sheetName val="absen_juli19"/>
      <sheetName val="PROCEDUR_DESCRIPTION19"/>
      <sheetName val="FORM_ASAKAI_PROBLEM19"/>
      <sheetName val="Type_I19"/>
      <sheetName val="TMMK_Vehicle_Data19"/>
      <sheetName val="TMMC_Vehicle_Data19"/>
      <sheetName val="Comparison_data19"/>
      <sheetName val="Supplier_Master19"/>
      <sheetName val="INV_19"/>
      <sheetName val="Unit_Price_9616"/>
      <sheetName val="393_N15"/>
      <sheetName val="DATA_SMQR_TMMIN_MAY14"/>
      <sheetName val="Monthly_RecapLO14"/>
      <sheetName val="Labul_0012"/>
      <sheetName val="DATA_BASE3"/>
      <sheetName val="Header"/>
      <sheetName val="Mar"/>
      <sheetName val="Data"/>
      <sheetName val="166N Plist"/>
      <sheetName val="03-BP_06_20"/>
      <sheetName val="Daily_Control_Unit_November_020"/>
      <sheetName val="Part_List_Compare_Scan___Plan20"/>
      <sheetName val="RA_A20"/>
      <sheetName val="TMS_Data20"/>
      <sheetName val="Supp_List21"/>
      <sheetName val="Draft_Vehicle_Format20"/>
      <sheetName val="OTHERS_x62020"/>
      <sheetName val="Print_out20"/>
      <sheetName val="input_data20"/>
      <sheetName val="Kompensasi_SPV20"/>
      <sheetName val="input_data__2_20"/>
      <sheetName val="ocean_voyage20"/>
      <sheetName val="absen_juli20"/>
      <sheetName val="PROCEDUR_DESCRIPTION20"/>
      <sheetName val="FORM_ASAKAI_PROBLEM20"/>
      <sheetName val="Type_I20"/>
      <sheetName val="TMMK_Vehicle_Data20"/>
      <sheetName val="TMMC_Vehicle_Data20"/>
      <sheetName val="Comparison_data20"/>
      <sheetName val="Supplier_Master20"/>
      <sheetName val="INV_20"/>
      <sheetName val="Unit_Price_9617"/>
      <sheetName val="393_N16"/>
      <sheetName val="DATA_SMQR_TMMIN_MAY15"/>
      <sheetName val="Monthly_RecapLO15"/>
      <sheetName val="Labul_0013"/>
      <sheetName val="DATA_BASE4"/>
      <sheetName val="BY_CATEGORY"/>
      <sheetName val="2002Shipment"/>
      <sheetName val="PSR&amp;LVR"/>
      <sheetName val="Master Lembur &amp; Absen "/>
      <sheetName val="03-BP_06_21"/>
      <sheetName val="Daily_Control_Unit_November_021"/>
      <sheetName val="Part_List_Compare_Scan___Plan21"/>
      <sheetName val="RA_A21"/>
      <sheetName val="TMS_Data21"/>
      <sheetName val="Supp_List22"/>
      <sheetName val="Draft_Vehicle_Format21"/>
      <sheetName val="OTHERS_x62021"/>
      <sheetName val="Print_out21"/>
      <sheetName val="input_data21"/>
      <sheetName val="Kompensasi_SPV21"/>
      <sheetName val="input_data__2_21"/>
      <sheetName val="ocean_voyage21"/>
      <sheetName val="absen_juli21"/>
      <sheetName val="PROCEDUR_DESCRIPTION21"/>
      <sheetName val="FORM_ASAKAI_PROBLEM21"/>
      <sheetName val="Type_I21"/>
      <sheetName val="TMMK_Vehicle_Data21"/>
      <sheetName val="TMMC_Vehicle_Data21"/>
      <sheetName val="Comparison_data21"/>
      <sheetName val="Supplier_Master21"/>
      <sheetName val="INV_21"/>
      <sheetName val="Unit_Price_9618"/>
      <sheetName val="393_N17"/>
      <sheetName val="DATA_SMQR_TMMIN_MAY16"/>
      <sheetName val="Monthly_RecapLO16"/>
      <sheetName val="Labul_0014"/>
      <sheetName val="DATA_BASE5"/>
      <sheetName val="BY_CATEGORY1"/>
      <sheetName val="#REF"/>
      <sheetName val="03-BP_06_22"/>
      <sheetName val="Daily_Control_Unit_November_022"/>
      <sheetName val="Part_List_Compare_Scan___Plan22"/>
      <sheetName val="RA_A22"/>
      <sheetName val="Supp_List23"/>
      <sheetName val="TMS_Data22"/>
      <sheetName val="Draft_Vehicle_Format22"/>
      <sheetName val="OTHERS_x62022"/>
      <sheetName val="Print_out22"/>
      <sheetName val="input_data22"/>
      <sheetName val="Kompensasi_SPV22"/>
      <sheetName val="input_data__2_22"/>
      <sheetName val="ocean_voyage22"/>
      <sheetName val="absen_juli22"/>
      <sheetName val="PROCEDUR_DESCRIPTION22"/>
      <sheetName val="FORM_ASAKAI_PROBLEM22"/>
      <sheetName val="Type_I22"/>
      <sheetName val="TMMK_Vehicle_Data22"/>
      <sheetName val="TMMC_Vehicle_Data22"/>
      <sheetName val="Comparison_data22"/>
      <sheetName val="Supplier_Master22"/>
      <sheetName val="INV_22"/>
      <sheetName val="Unit_Price_9619"/>
      <sheetName val="393_N18"/>
      <sheetName val="DATA_SMQR_TMMIN_MAY17"/>
      <sheetName val="Monthly_RecapLO17"/>
      <sheetName val="Labul_0015"/>
      <sheetName val="DATA_BASE6"/>
      <sheetName val="BY_CATEGORY2"/>
      <sheetName val="Master_Lembur_&amp;_Absen_"/>
      <sheetName val="03-BP_06_23"/>
      <sheetName val="Daily_Control_Unit_November_023"/>
      <sheetName val="Part_List_Compare_Scan___Plan23"/>
      <sheetName val="RA_A23"/>
      <sheetName val="Supp_List24"/>
      <sheetName val="TMS_Data23"/>
      <sheetName val="Draft_Vehicle_Format23"/>
      <sheetName val="OTHERS_x62023"/>
      <sheetName val="Print_out23"/>
      <sheetName val="input_data23"/>
      <sheetName val="Kompensasi_SPV23"/>
      <sheetName val="input_data__2_23"/>
      <sheetName val="ocean_voyage23"/>
      <sheetName val="absen_juli23"/>
      <sheetName val="PROCEDUR_DESCRIPTION23"/>
      <sheetName val="FORM_ASAKAI_PROBLEM23"/>
      <sheetName val="Type_I23"/>
      <sheetName val="TMMK_Vehicle_Data23"/>
      <sheetName val="TMMC_Vehicle_Data23"/>
      <sheetName val="Comparison_data23"/>
      <sheetName val="Supplier_Master23"/>
      <sheetName val="INV_23"/>
      <sheetName val="Unit_Price_9620"/>
      <sheetName val="393_N19"/>
      <sheetName val="DATA_SMQR_TMMIN_MAY18"/>
      <sheetName val="Monthly_RecapLO18"/>
      <sheetName val="Labul_0016"/>
      <sheetName val="DATA_BASE7"/>
      <sheetName val="BY_CATEGORY3"/>
      <sheetName val="Master_Lembur_&amp;_Absen_1"/>
      <sheetName val="03-BP_06_26"/>
      <sheetName val="Daily_Control_Unit_November_026"/>
      <sheetName val="Part_List_Compare_Scan___Plan26"/>
      <sheetName val="RA_A26"/>
      <sheetName val="Supp_List27"/>
      <sheetName val="TMS_Data26"/>
      <sheetName val="Draft_Vehicle_Format26"/>
      <sheetName val="OTHERS_x62026"/>
      <sheetName val="Print_out26"/>
      <sheetName val="input_data26"/>
      <sheetName val="Kompensasi_SPV26"/>
      <sheetName val="input_data__2_26"/>
      <sheetName val="ocean_voyage26"/>
      <sheetName val="absen_juli26"/>
      <sheetName val="PROCEDUR_DESCRIPTION26"/>
      <sheetName val="FORM_ASAKAI_PROBLEM26"/>
      <sheetName val="Type_I26"/>
      <sheetName val="TMMK_Vehicle_Data26"/>
      <sheetName val="TMMC_Vehicle_Data26"/>
      <sheetName val="Comparison_data26"/>
      <sheetName val="Supplier_Master26"/>
      <sheetName val="INV_26"/>
      <sheetName val="Unit_Price_9623"/>
      <sheetName val="393_N22"/>
      <sheetName val="DATA_SMQR_TMMIN_MAY21"/>
      <sheetName val="Monthly_RecapLO21"/>
      <sheetName val="Labul_0019"/>
      <sheetName val="DATA_BASE10"/>
      <sheetName val="BY_CATEGORY6"/>
      <sheetName val="Master_Lembur_&amp;_Absen_4"/>
      <sheetName val="03-BP_06_24"/>
      <sheetName val="Daily_Control_Unit_November_024"/>
      <sheetName val="Part_List_Compare_Scan___Plan24"/>
      <sheetName val="RA_A24"/>
      <sheetName val="Supp_List25"/>
      <sheetName val="TMS_Data24"/>
      <sheetName val="Draft_Vehicle_Format24"/>
      <sheetName val="OTHERS_x62024"/>
      <sheetName val="Print_out24"/>
      <sheetName val="input_data24"/>
      <sheetName val="Kompensasi_SPV24"/>
      <sheetName val="input_data__2_24"/>
      <sheetName val="ocean_voyage24"/>
      <sheetName val="absen_juli24"/>
      <sheetName val="PROCEDUR_DESCRIPTION24"/>
      <sheetName val="FORM_ASAKAI_PROBLEM24"/>
      <sheetName val="Type_I24"/>
      <sheetName val="TMMK_Vehicle_Data24"/>
      <sheetName val="TMMC_Vehicle_Data24"/>
      <sheetName val="Comparison_data24"/>
      <sheetName val="Supplier_Master24"/>
      <sheetName val="INV_24"/>
      <sheetName val="Unit_Price_9621"/>
      <sheetName val="393_N20"/>
      <sheetName val="DATA_SMQR_TMMIN_MAY19"/>
      <sheetName val="Monthly_RecapLO19"/>
      <sheetName val="Labul_0017"/>
      <sheetName val="DATA_BASE8"/>
      <sheetName val="BY_CATEGORY4"/>
      <sheetName val="Master_Lembur_&amp;_Absen_2"/>
      <sheetName val="03-BP_06_25"/>
      <sheetName val="Daily_Control_Unit_November_025"/>
      <sheetName val="Part_List_Compare_Scan___Plan25"/>
      <sheetName val="RA_A25"/>
      <sheetName val="Supp_List26"/>
      <sheetName val="TMS_Data25"/>
      <sheetName val="Draft_Vehicle_Format25"/>
      <sheetName val="OTHERS_x62025"/>
      <sheetName val="Print_out25"/>
      <sheetName val="input_data25"/>
      <sheetName val="Kompensasi_SPV25"/>
      <sheetName val="input_data__2_25"/>
      <sheetName val="ocean_voyage25"/>
      <sheetName val="absen_juli25"/>
      <sheetName val="PROCEDUR_DESCRIPTION25"/>
      <sheetName val="FORM_ASAKAI_PROBLEM25"/>
      <sheetName val="Type_I25"/>
      <sheetName val="TMMK_Vehicle_Data25"/>
      <sheetName val="TMMC_Vehicle_Data25"/>
      <sheetName val="Comparison_data25"/>
      <sheetName val="Supplier_Master25"/>
      <sheetName val="INV_25"/>
      <sheetName val="Unit_Price_9622"/>
      <sheetName val="393_N21"/>
      <sheetName val="DATA_SMQR_TMMIN_MAY20"/>
      <sheetName val="Monthly_RecapLO20"/>
      <sheetName val="Labul_0018"/>
      <sheetName val="DATA_BASE9"/>
      <sheetName val="BY_CATEGORY5"/>
      <sheetName val="Master_Lembur_&amp;_Absen_3"/>
      <sheetName val="0712ST計算"/>
      <sheetName val="Lembur_Transport_Obat P2"/>
      <sheetName val="PP_LETTER"/>
      <sheetName val="Volumes"/>
      <sheetName val="バス"/>
      <sheetName val="MD_01Oct2002"/>
      <sheetName val="cogd-egn"/>
      <sheetName val="Prices"/>
      <sheetName val="計量器表（ﾍｯﾄﾞ）"/>
      <sheetName val="テーブル定義"/>
      <sheetName val="為替前提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K PO 31 Jul 2024 21.45"/>
      <sheetName val="PCS"/>
    </sheetNames>
    <sheetDataSet>
      <sheetData sheetId="0"/>
      <sheetData sheetId="1">
        <row r="3">
          <cell r="E3" t="str">
            <v>Data</v>
          </cell>
        </row>
        <row r="4">
          <cell r="D4" t="str">
            <v>MATERIAL</v>
          </cell>
          <cell r="E4" t="str">
            <v>OK</v>
          </cell>
          <cell r="F4" t="str">
            <v>REPAIR</v>
          </cell>
          <cell r="G4" t="str">
            <v>REJECT</v>
          </cell>
          <cell r="R4" t="str">
            <v>MATERIAL</v>
          </cell>
          <cell r="S4" t="str">
            <v>OK</v>
          </cell>
          <cell r="T4" t="str">
            <v>REPAIR</v>
          </cell>
          <cell r="U4" t="str">
            <v>REJECT</v>
          </cell>
          <cell r="Y4" t="str">
            <v>MATERIAL</v>
          </cell>
          <cell r="Z4" t="str">
            <v>OK</v>
          </cell>
          <cell r="AA4" t="str">
            <v>REPAIR</v>
          </cell>
          <cell r="AB4" t="str">
            <v>REJECT</v>
          </cell>
        </row>
        <row r="5">
          <cell r="D5" t="str">
            <v>D58213 BZ130</v>
          </cell>
          <cell r="E5">
            <v>8297</v>
          </cell>
          <cell r="F5">
            <v>0</v>
          </cell>
          <cell r="G5">
            <v>0</v>
          </cell>
          <cell r="R5" t="str">
            <v>DV65317 BZ030-00</v>
          </cell>
          <cell r="S5">
            <v>193</v>
          </cell>
          <cell r="T5">
            <v>77</v>
          </cell>
          <cell r="U5">
            <v>0</v>
          </cell>
          <cell r="Y5" t="str">
            <v>DV61771 BZ140-00</v>
          </cell>
          <cell r="Z5">
            <v>5400</v>
          </cell>
          <cell r="AA5">
            <v>0</v>
          </cell>
          <cell r="AB5">
            <v>0</v>
          </cell>
        </row>
        <row r="6">
          <cell r="D6" t="str">
            <v>D61343 BZ180</v>
          </cell>
          <cell r="E6">
            <v>7950</v>
          </cell>
          <cell r="F6">
            <v>0</v>
          </cell>
          <cell r="G6">
            <v>0</v>
          </cell>
          <cell r="R6" t="str">
            <v>DV65318 BZ030-00</v>
          </cell>
          <cell r="S6">
            <v>0</v>
          </cell>
          <cell r="T6">
            <v>255</v>
          </cell>
          <cell r="U6">
            <v>0</v>
          </cell>
          <cell r="Y6" t="str">
            <v>DV61772 BZ130-00</v>
          </cell>
          <cell r="Z6">
            <v>5400</v>
          </cell>
          <cell r="AA6">
            <v>0</v>
          </cell>
          <cell r="AB6">
            <v>0</v>
          </cell>
        </row>
        <row r="7">
          <cell r="D7" t="str">
            <v>D61344 BZ190</v>
          </cell>
          <cell r="E7">
            <v>7950</v>
          </cell>
          <cell r="F7">
            <v>0</v>
          </cell>
          <cell r="G7">
            <v>0</v>
          </cell>
          <cell r="R7" t="str">
            <v>DV65317 BZ010-00</v>
          </cell>
          <cell r="S7">
            <v>2765</v>
          </cell>
          <cell r="T7">
            <v>1476</v>
          </cell>
          <cell r="U7">
            <v>0</v>
          </cell>
          <cell r="Y7" t="str">
            <v>D57411 BZ210</v>
          </cell>
          <cell r="Z7">
            <v>8160</v>
          </cell>
          <cell r="AA7">
            <v>0</v>
          </cell>
          <cell r="AB7">
            <v>0</v>
          </cell>
        </row>
        <row r="8">
          <cell r="D8" t="str">
            <v>D58115 BZ100</v>
          </cell>
          <cell r="E8">
            <v>13339</v>
          </cell>
          <cell r="F8">
            <v>0</v>
          </cell>
          <cell r="G8">
            <v>0</v>
          </cell>
          <cell r="R8" t="str">
            <v>DV65318 BZ010-00</v>
          </cell>
          <cell r="S8">
            <v>0</v>
          </cell>
          <cell r="T8">
            <v>4110</v>
          </cell>
          <cell r="U8">
            <v>0</v>
          </cell>
          <cell r="Y8" t="str">
            <v>D57412 BZ280</v>
          </cell>
          <cell r="Z8">
            <v>8160</v>
          </cell>
          <cell r="AA8">
            <v>0</v>
          </cell>
          <cell r="AB8">
            <v>0</v>
          </cell>
        </row>
        <row r="9">
          <cell r="D9" t="str">
            <v>DV58115 BZ100-03</v>
          </cell>
          <cell r="E9">
            <v>3000</v>
          </cell>
          <cell r="F9">
            <v>0</v>
          </cell>
          <cell r="G9">
            <v>0</v>
          </cell>
          <cell r="R9" t="str">
            <v>DV58312 BZ020-00</v>
          </cell>
          <cell r="S9">
            <v>1025</v>
          </cell>
          <cell r="T9">
            <v>0</v>
          </cell>
          <cell r="U9">
            <v>0</v>
          </cell>
          <cell r="Y9" t="str">
            <v>D55741 BZ400</v>
          </cell>
          <cell r="Z9">
            <v>8520</v>
          </cell>
          <cell r="AA9">
            <v>0</v>
          </cell>
          <cell r="AB9">
            <v>0</v>
          </cell>
        </row>
        <row r="10">
          <cell r="D10" t="str">
            <v>D61733 BZ040</v>
          </cell>
          <cell r="E10">
            <v>11145</v>
          </cell>
          <cell r="F10">
            <v>0</v>
          </cell>
          <cell r="G10">
            <v>0</v>
          </cell>
          <cell r="R10" t="str">
            <v>DV58312 BZ040-00</v>
          </cell>
          <cell r="S10">
            <v>350</v>
          </cell>
          <cell r="T10">
            <v>0</v>
          </cell>
          <cell r="U10">
            <v>0</v>
          </cell>
          <cell r="Y10" t="str">
            <v>DV61626 BZ121</v>
          </cell>
          <cell r="Z10">
            <v>20</v>
          </cell>
          <cell r="AA10">
            <v>0</v>
          </cell>
          <cell r="AB10">
            <v>0</v>
          </cell>
        </row>
        <row r="11">
          <cell r="D11" t="str">
            <v>D61734 BZ040</v>
          </cell>
          <cell r="E11">
            <v>11150</v>
          </cell>
          <cell r="F11">
            <v>0</v>
          </cell>
          <cell r="G11">
            <v>0</v>
          </cell>
          <cell r="R11" t="str">
            <v>DV65317 BZ021-00</v>
          </cell>
          <cell r="S11">
            <v>0</v>
          </cell>
          <cell r="T11">
            <v>30</v>
          </cell>
          <cell r="U11">
            <v>0</v>
          </cell>
          <cell r="Y11" t="str">
            <v>D55741 BZ570</v>
          </cell>
          <cell r="Z11">
            <v>5400</v>
          </cell>
          <cell r="AA11">
            <v>0</v>
          </cell>
          <cell r="AB11">
            <v>0</v>
          </cell>
        </row>
        <row r="12">
          <cell r="D12" t="str">
            <v>D57453 BZ100</v>
          </cell>
          <cell r="E12">
            <v>12830</v>
          </cell>
          <cell r="F12">
            <v>0</v>
          </cell>
          <cell r="G12">
            <v>0</v>
          </cell>
          <cell r="R12" t="str">
            <v>DV65318 BZ021-00</v>
          </cell>
          <cell r="S12">
            <v>0</v>
          </cell>
          <cell r="T12">
            <v>130</v>
          </cell>
          <cell r="U12">
            <v>0</v>
          </cell>
          <cell r="Y12" t="str">
            <v>D61627 BZ110</v>
          </cell>
          <cell r="Z12">
            <v>9440</v>
          </cell>
          <cell r="AA12">
            <v>0</v>
          </cell>
          <cell r="AB12">
            <v>0</v>
          </cell>
        </row>
        <row r="13">
          <cell r="D13" t="str">
            <v>DV61161 BZ081G1</v>
          </cell>
          <cell r="E13">
            <v>3</v>
          </cell>
          <cell r="F13">
            <v>0</v>
          </cell>
          <cell r="G13">
            <v>0</v>
          </cell>
          <cell r="R13" t="str">
            <v>DV58311 BZ141-00</v>
          </cell>
          <cell r="S13">
            <v>350</v>
          </cell>
          <cell r="T13">
            <v>0</v>
          </cell>
          <cell r="U13">
            <v>0</v>
          </cell>
          <cell r="Y13" t="str">
            <v>D61627 BZ120</v>
          </cell>
          <cell r="Z13">
            <v>2820</v>
          </cell>
          <cell r="AA13">
            <v>0</v>
          </cell>
          <cell r="AB13">
            <v>0</v>
          </cell>
        </row>
        <row r="14">
          <cell r="D14" t="str">
            <v>DV61162 BZ081G2</v>
          </cell>
          <cell r="E14">
            <v>637</v>
          </cell>
          <cell r="F14">
            <v>143</v>
          </cell>
          <cell r="G14">
            <v>0</v>
          </cell>
          <cell r="R14" t="str">
            <v>DV58311 BZ091-00</v>
          </cell>
          <cell r="S14">
            <v>300</v>
          </cell>
          <cell r="T14">
            <v>0</v>
          </cell>
          <cell r="U14">
            <v>0</v>
          </cell>
          <cell r="Y14" t="str">
            <v>D61628 BZ160</v>
          </cell>
          <cell r="Z14">
            <v>9440</v>
          </cell>
          <cell r="AA14">
            <v>0</v>
          </cell>
          <cell r="AB14">
            <v>0</v>
          </cell>
        </row>
        <row r="15">
          <cell r="D15" t="str">
            <v>DV61161 BZ240G3</v>
          </cell>
          <cell r="E15">
            <v>2174</v>
          </cell>
          <cell r="F15">
            <v>204</v>
          </cell>
          <cell r="G15">
            <v>0</v>
          </cell>
          <cell r="R15" t="str">
            <v>DV58311 BZ101-00</v>
          </cell>
          <cell r="S15">
            <v>800</v>
          </cell>
          <cell r="T15">
            <v>0</v>
          </cell>
          <cell r="U15">
            <v>0</v>
          </cell>
          <cell r="Y15" t="str">
            <v>D61628 BZ170</v>
          </cell>
          <cell r="Z15">
            <v>2820</v>
          </cell>
          <cell r="AA15">
            <v>0</v>
          </cell>
          <cell r="AB15">
            <v>0</v>
          </cell>
        </row>
        <row r="16">
          <cell r="D16" t="str">
            <v>DV61162 BZ091G4</v>
          </cell>
          <cell r="E16">
            <v>527</v>
          </cell>
          <cell r="F16">
            <v>136</v>
          </cell>
          <cell r="G16">
            <v>0</v>
          </cell>
          <cell r="R16" t="str">
            <v>DV58311 BZ111-00</v>
          </cell>
          <cell r="S16">
            <v>1250</v>
          </cell>
          <cell r="T16">
            <v>0</v>
          </cell>
          <cell r="U16">
            <v>0</v>
          </cell>
          <cell r="Y16" t="str">
            <v>DV58311 BZ121-00</v>
          </cell>
          <cell r="Z16">
            <v>750</v>
          </cell>
          <cell r="AA16">
            <v>0</v>
          </cell>
          <cell r="AB16">
            <v>0</v>
          </cell>
        </row>
        <row r="17">
          <cell r="D17" t="str">
            <v>DV61162 BZ240G4</v>
          </cell>
          <cell r="E17">
            <v>2066</v>
          </cell>
          <cell r="F17">
            <v>334</v>
          </cell>
          <cell r="G17">
            <v>0</v>
          </cell>
          <cell r="R17" t="str">
            <v>D53711 BZ071-00</v>
          </cell>
          <cell r="S17">
            <v>2003</v>
          </cell>
          <cell r="T17">
            <v>7</v>
          </cell>
          <cell r="U17">
            <v>0</v>
          </cell>
          <cell r="Y17" t="str">
            <v>D55711 BZ080-00</v>
          </cell>
          <cell r="Z17">
            <v>7700</v>
          </cell>
          <cell r="AA17">
            <v>0</v>
          </cell>
          <cell r="AB17">
            <v>0</v>
          </cell>
        </row>
        <row r="18">
          <cell r="D18" t="str">
            <v>DV61161 BZ101G5</v>
          </cell>
          <cell r="E18">
            <v>4694</v>
          </cell>
          <cell r="F18">
            <v>526</v>
          </cell>
          <cell r="G18">
            <v>0</v>
          </cell>
          <cell r="R18" t="str">
            <v>D53712 BZ070-00</v>
          </cell>
          <cell r="S18">
            <v>5243</v>
          </cell>
          <cell r="T18">
            <v>97</v>
          </cell>
          <cell r="U18">
            <v>0</v>
          </cell>
          <cell r="Y18" t="str">
            <v>D57611 BZ141-00</v>
          </cell>
          <cell r="Z18">
            <v>1550</v>
          </cell>
          <cell r="AA18">
            <v>0</v>
          </cell>
          <cell r="AB18">
            <v>0</v>
          </cell>
        </row>
        <row r="19">
          <cell r="D19" t="str">
            <v>DV61162 BZ111G8</v>
          </cell>
          <cell r="E19">
            <v>3868</v>
          </cell>
          <cell r="F19">
            <v>773</v>
          </cell>
          <cell r="G19">
            <v>0</v>
          </cell>
          <cell r="R19" t="str">
            <v>D61112 BZ581-00</v>
          </cell>
          <cell r="S19">
            <v>0</v>
          </cell>
          <cell r="T19">
            <v>64</v>
          </cell>
          <cell r="U19">
            <v>6</v>
          </cell>
          <cell r="Y19" t="str">
            <v>D57611 BZ151-00</v>
          </cell>
          <cell r="Z19">
            <v>1850</v>
          </cell>
          <cell r="AA19">
            <v>0</v>
          </cell>
          <cell r="AB19">
            <v>0</v>
          </cell>
        </row>
        <row r="20">
          <cell r="D20" t="str">
            <v>DV64136 BZ020G20</v>
          </cell>
          <cell r="E20">
            <v>356</v>
          </cell>
          <cell r="F20">
            <v>28</v>
          </cell>
          <cell r="G20">
            <v>0</v>
          </cell>
          <cell r="R20" t="str">
            <v>D61112 BZ591-00</v>
          </cell>
          <cell r="S20">
            <v>0</v>
          </cell>
          <cell r="T20">
            <v>3</v>
          </cell>
          <cell r="U20">
            <v>0</v>
          </cell>
          <cell r="Y20" t="str">
            <v>D57612 BZ142-00</v>
          </cell>
          <cell r="Z20">
            <v>1350</v>
          </cell>
          <cell r="AA20">
            <v>0</v>
          </cell>
          <cell r="AB20">
            <v>0</v>
          </cell>
        </row>
        <row r="21">
          <cell r="D21" t="str">
            <v>DV58114 BZ020</v>
          </cell>
          <cell r="E21">
            <v>4361</v>
          </cell>
          <cell r="F21">
            <v>1559</v>
          </cell>
          <cell r="G21">
            <v>0</v>
          </cell>
          <cell r="R21" t="str">
            <v>D61112 BZ611-00</v>
          </cell>
          <cell r="S21">
            <v>0</v>
          </cell>
          <cell r="T21">
            <v>27</v>
          </cell>
          <cell r="U21">
            <v>0</v>
          </cell>
          <cell r="Y21" t="str">
            <v>D57612 BZ152-00</v>
          </cell>
          <cell r="Z21">
            <v>2050</v>
          </cell>
          <cell r="AA21">
            <v>0</v>
          </cell>
          <cell r="AB21">
            <v>0</v>
          </cell>
        </row>
        <row r="22">
          <cell r="D22" t="str">
            <v>DV58312 BZ010-00</v>
          </cell>
          <cell r="E22">
            <v>2171</v>
          </cell>
          <cell r="F22">
            <v>14</v>
          </cell>
          <cell r="G22">
            <v>3</v>
          </cell>
          <cell r="R22" t="str">
            <v>D61112 BZ621-00</v>
          </cell>
          <cell r="S22">
            <v>0</v>
          </cell>
          <cell r="T22">
            <v>0</v>
          </cell>
          <cell r="U22">
            <v>1</v>
          </cell>
          <cell r="Y22" t="str">
            <v>ISFV 8976957480</v>
          </cell>
          <cell r="Z22">
            <v>1154</v>
          </cell>
          <cell r="AA22">
            <v>300</v>
          </cell>
          <cell r="AB22">
            <v>0</v>
          </cell>
        </row>
        <row r="23">
          <cell r="D23" t="str">
            <v>D53711 BZ081-00</v>
          </cell>
          <cell r="E23">
            <v>6</v>
          </cell>
          <cell r="F23">
            <v>0</v>
          </cell>
          <cell r="G23">
            <v>0</v>
          </cell>
          <cell r="R23" t="str">
            <v>D61111 BZ710-00</v>
          </cell>
          <cell r="S23">
            <v>0</v>
          </cell>
          <cell r="T23">
            <v>9</v>
          </cell>
          <cell r="U23">
            <v>0</v>
          </cell>
          <cell r="Y23" t="str">
            <v>IFGV-8975859933</v>
          </cell>
          <cell r="Z23">
            <v>1140</v>
          </cell>
          <cell r="AA23">
            <v>0</v>
          </cell>
          <cell r="AB23">
            <v>0</v>
          </cell>
        </row>
        <row r="24">
          <cell r="D24" t="str">
            <v>D53712 BZ080-00</v>
          </cell>
          <cell r="E24">
            <v>1923</v>
          </cell>
          <cell r="F24">
            <v>0</v>
          </cell>
          <cell r="G24">
            <v>16</v>
          </cell>
          <cell r="R24" t="str">
            <v>D61111 BZA60-00</v>
          </cell>
          <cell r="S24">
            <v>0</v>
          </cell>
          <cell r="T24">
            <v>22</v>
          </cell>
          <cell r="U24">
            <v>0</v>
          </cell>
          <cell r="Y24" t="str">
            <v>ISFV 8975880321</v>
          </cell>
          <cell r="Z24">
            <v>1260</v>
          </cell>
          <cell r="AA24">
            <v>0</v>
          </cell>
          <cell r="AB24">
            <v>0</v>
          </cell>
        </row>
        <row r="25">
          <cell r="D25" t="str">
            <v>D53711 BZ210-00</v>
          </cell>
          <cell r="E25">
            <v>3300</v>
          </cell>
          <cell r="F25">
            <v>0</v>
          </cell>
          <cell r="G25">
            <v>0</v>
          </cell>
          <cell r="R25" t="str">
            <v>D61111 BZA70-00</v>
          </cell>
          <cell r="S25">
            <v>0</v>
          </cell>
          <cell r="T25">
            <v>4</v>
          </cell>
          <cell r="U25">
            <v>0</v>
          </cell>
          <cell r="Y25" t="str">
            <v>ISFV 8975880331</v>
          </cell>
          <cell r="Z25">
            <v>1260</v>
          </cell>
          <cell r="AA25">
            <v>0</v>
          </cell>
          <cell r="AB25">
            <v>0</v>
          </cell>
        </row>
        <row r="26">
          <cell r="D26" t="str">
            <v>D53711 BZ220-00</v>
          </cell>
          <cell r="E26">
            <v>210</v>
          </cell>
          <cell r="F26">
            <v>0</v>
          </cell>
          <cell r="G26">
            <v>0</v>
          </cell>
          <cell r="R26" t="str">
            <v>D63111 BZ210-00</v>
          </cell>
          <cell r="S26">
            <v>0</v>
          </cell>
          <cell r="T26">
            <v>1</v>
          </cell>
          <cell r="U26">
            <v>0</v>
          </cell>
          <cell r="Y26" t="str">
            <v>ISFV 8975838304</v>
          </cell>
          <cell r="Z26">
            <v>1140</v>
          </cell>
          <cell r="AA26">
            <v>0</v>
          </cell>
          <cell r="AB26">
            <v>0</v>
          </cell>
        </row>
        <row r="27">
          <cell r="D27" t="str">
            <v>D53711 BZ270-00</v>
          </cell>
          <cell r="E27">
            <v>1830</v>
          </cell>
          <cell r="F27">
            <v>0</v>
          </cell>
          <cell r="G27">
            <v>34</v>
          </cell>
          <cell r="R27" t="str">
            <v>D63111 BZ300-00</v>
          </cell>
          <cell r="S27">
            <v>0</v>
          </cell>
          <cell r="T27">
            <v>6</v>
          </cell>
          <cell r="U27">
            <v>0</v>
          </cell>
          <cell r="Y27" t="str">
            <v>ISF 8980144682</v>
          </cell>
          <cell r="Z27">
            <v>1200</v>
          </cell>
          <cell r="AA27">
            <v>0</v>
          </cell>
          <cell r="AB27">
            <v>0</v>
          </cell>
        </row>
        <row r="28">
          <cell r="D28" t="str">
            <v>DV53711 BZ260-00</v>
          </cell>
          <cell r="E28">
            <v>700</v>
          </cell>
          <cell r="F28">
            <v>20</v>
          </cell>
          <cell r="G28">
            <v>0</v>
          </cell>
          <cell r="R28" t="str">
            <v>DVA53311 BZ230-00</v>
          </cell>
          <cell r="S28">
            <v>25</v>
          </cell>
          <cell r="T28">
            <v>124</v>
          </cell>
          <cell r="U28">
            <v>0</v>
          </cell>
          <cell r="Y28" t="str">
            <v>ISFV 8975838844</v>
          </cell>
          <cell r="Z28">
            <v>1200</v>
          </cell>
          <cell r="AA28">
            <v>0</v>
          </cell>
          <cell r="AB28">
            <v>0</v>
          </cell>
        </row>
        <row r="29">
          <cell r="D29" t="str">
            <v>DV53712 BZ250-00</v>
          </cell>
          <cell r="E29">
            <v>698</v>
          </cell>
          <cell r="F29">
            <v>21</v>
          </cell>
          <cell r="G29">
            <v>2</v>
          </cell>
          <cell r="R29" t="str">
            <v>D53321 BZ230-00</v>
          </cell>
          <cell r="S29">
            <v>100</v>
          </cell>
          <cell r="T29">
            <v>0</v>
          </cell>
          <cell r="U29">
            <v>0</v>
          </cell>
          <cell r="Y29" t="str">
            <v>ISFV 8975838854</v>
          </cell>
          <cell r="Z29">
            <v>1200</v>
          </cell>
          <cell r="AA29">
            <v>0</v>
          </cell>
          <cell r="AB29">
            <v>0</v>
          </cell>
        </row>
        <row r="30">
          <cell r="D30" t="str">
            <v>D55711 BZ090-00</v>
          </cell>
          <cell r="E30">
            <v>800</v>
          </cell>
          <cell r="F30">
            <v>0</v>
          </cell>
          <cell r="G30">
            <v>0</v>
          </cell>
          <cell r="R30" t="str">
            <v>DV53811 BZ340-00</v>
          </cell>
          <cell r="S30">
            <v>0</v>
          </cell>
          <cell r="T30">
            <v>36</v>
          </cell>
          <cell r="U30">
            <v>0</v>
          </cell>
          <cell r="Y30" t="str">
            <v>ISFV 8975838896</v>
          </cell>
          <cell r="Z30">
            <v>1440</v>
          </cell>
          <cell r="AA30">
            <v>0</v>
          </cell>
          <cell r="AB30">
            <v>0</v>
          </cell>
        </row>
        <row r="31">
          <cell r="D31" t="str">
            <v>ISFV 8975838684</v>
          </cell>
          <cell r="E31">
            <v>1320</v>
          </cell>
          <cell r="F31">
            <v>0</v>
          </cell>
          <cell r="G31">
            <v>0</v>
          </cell>
          <cell r="R31" t="str">
            <v>DV53812 BZ280-00</v>
          </cell>
          <cell r="S31">
            <v>18</v>
          </cell>
          <cell r="T31">
            <v>99</v>
          </cell>
          <cell r="U31">
            <v>0</v>
          </cell>
          <cell r="Y31" t="str">
            <v>ISFV 8975838906</v>
          </cell>
          <cell r="Z31">
            <v>1440</v>
          </cell>
          <cell r="AA31">
            <v>0</v>
          </cell>
          <cell r="AB31">
            <v>0</v>
          </cell>
        </row>
        <row r="32">
          <cell r="D32" t="str">
            <v>ISFV 8975838694</v>
          </cell>
          <cell r="E32">
            <v>960</v>
          </cell>
          <cell r="F32">
            <v>0</v>
          </cell>
          <cell r="G32">
            <v>0</v>
          </cell>
          <cell r="R32" t="str">
            <v>DV53811 BZ350-00</v>
          </cell>
          <cell r="S32">
            <v>0</v>
          </cell>
          <cell r="T32">
            <v>6</v>
          </cell>
          <cell r="U32">
            <v>0</v>
          </cell>
          <cell r="Y32" t="str">
            <v>IFGV-8980152102S</v>
          </cell>
          <cell r="Z32">
            <v>120</v>
          </cell>
          <cell r="AA32">
            <v>0</v>
          </cell>
          <cell r="AB32">
            <v>0</v>
          </cell>
        </row>
        <row r="33">
          <cell r="D33" t="str">
            <v>ISFV 8975839253</v>
          </cell>
          <cell r="E33">
            <v>1200</v>
          </cell>
          <cell r="F33">
            <v>0</v>
          </cell>
          <cell r="G33">
            <v>0</v>
          </cell>
          <cell r="R33" t="str">
            <v>DV53812 BZ350-00</v>
          </cell>
          <cell r="S33">
            <v>0</v>
          </cell>
          <cell r="T33">
            <v>54</v>
          </cell>
          <cell r="U33">
            <v>0</v>
          </cell>
          <cell r="Y33" t="str">
            <v>D55741 BZ150-00</v>
          </cell>
          <cell r="Z33">
            <v>1788</v>
          </cell>
          <cell r="AA33">
            <v>0</v>
          </cell>
          <cell r="AB33">
            <v>12</v>
          </cell>
        </row>
        <row r="34">
          <cell r="D34" t="str">
            <v>IFGV-8975893064</v>
          </cell>
          <cell r="E34">
            <v>120</v>
          </cell>
          <cell r="F34">
            <v>0</v>
          </cell>
          <cell r="G34">
            <v>0</v>
          </cell>
          <cell r="R34" t="str">
            <v>DV53812 BZ360-00</v>
          </cell>
          <cell r="S34">
            <v>6</v>
          </cell>
          <cell r="T34">
            <v>0</v>
          </cell>
          <cell r="U34">
            <v>0</v>
          </cell>
          <cell r="Y34" t="str">
            <v>D55741 BZ200-00</v>
          </cell>
          <cell r="Z34">
            <v>5200</v>
          </cell>
          <cell r="AA34">
            <v>0</v>
          </cell>
          <cell r="AB34">
            <v>0</v>
          </cell>
        </row>
        <row r="35">
          <cell r="D35" t="str">
            <v>DV67149 BZ210B</v>
          </cell>
          <cell r="E35">
            <v>200</v>
          </cell>
          <cell r="F35">
            <v>0</v>
          </cell>
          <cell r="G35">
            <v>0</v>
          </cell>
          <cell r="R35" t="str">
            <v>DV53811 BZ370-00</v>
          </cell>
          <cell r="S35">
            <v>5</v>
          </cell>
          <cell r="T35">
            <v>21</v>
          </cell>
          <cell r="U35">
            <v>0</v>
          </cell>
          <cell r="Y35" t="str">
            <v>D53321 BZ130-00</v>
          </cell>
          <cell r="Z35">
            <v>5700</v>
          </cell>
          <cell r="AA35">
            <v>0</v>
          </cell>
          <cell r="AB35">
            <v>0</v>
          </cell>
        </row>
        <row r="36">
          <cell r="D36" t="str">
            <v>D58171 BZ130</v>
          </cell>
          <cell r="E36">
            <v>4800</v>
          </cell>
          <cell r="F36">
            <v>0</v>
          </cell>
          <cell r="G36">
            <v>0</v>
          </cell>
          <cell r="R36" t="str">
            <v>DV53812 BZ370-00</v>
          </cell>
          <cell r="S36">
            <v>0</v>
          </cell>
          <cell r="T36">
            <v>43</v>
          </cell>
          <cell r="U36">
            <v>0</v>
          </cell>
          <cell r="Y36" t="str">
            <v>D53321 BZ140-00</v>
          </cell>
          <cell r="Z36">
            <v>2025</v>
          </cell>
          <cell r="AA36">
            <v>0</v>
          </cell>
          <cell r="AB36">
            <v>0</v>
          </cell>
        </row>
        <row r="37">
          <cell r="D37" t="str">
            <v>D61623 BZ120</v>
          </cell>
          <cell r="E37">
            <v>41</v>
          </cell>
          <cell r="F37">
            <v>0</v>
          </cell>
          <cell r="G37">
            <v>0</v>
          </cell>
          <cell r="R37" t="str">
            <v>D67141 BZ081-00</v>
          </cell>
          <cell r="S37">
            <v>5580</v>
          </cell>
          <cell r="T37">
            <v>306</v>
          </cell>
          <cell r="U37">
            <v>9</v>
          </cell>
          <cell r="Y37" t="str">
            <v>D67145 BZ050-00</v>
          </cell>
          <cell r="Z37">
            <v>5900</v>
          </cell>
          <cell r="AA37">
            <v>0</v>
          </cell>
          <cell r="AB37">
            <v>0</v>
          </cell>
        </row>
        <row r="38">
          <cell r="D38" t="str">
            <v>D61624 BZ130</v>
          </cell>
          <cell r="E38">
            <v>41</v>
          </cell>
          <cell r="F38">
            <v>0</v>
          </cell>
          <cell r="G38">
            <v>0</v>
          </cell>
          <cell r="R38" t="str">
            <v>D67142 BZ081-00</v>
          </cell>
          <cell r="S38">
            <v>4859</v>
          </cell>
          <cell r="T38">
            <v>663</v>
          </cell>
          <cell r="U38">
            <v>1</v>
          </cell>
          <cell r="Y38" t="str">
            <v>D67146 BZ050-00</v>
          </cell>
          <cell r="Z38">
            <v>5900</v>
          </cell>
          <cell r="AA38">
            <v>0</v>
          </cell>
          <cell r="AB38">
            <v>0</v>
          </cell>
        </row>
        <row r="39">
          <cell r="D39" t="str">
            <v>IFGV-8978500644</v>
          </cell>
          <cell r="E39">
            <v>1740</v>
          </cell>
          <cell r="F39">
            <v>0</v>
          </cell>
          <cell r="G39">
            <v>0</v>
          </cell>
          <cell r="R39" t="str">
            <v>D67141 BZ091-00</v>
          </cell>
          <cell r="S39">
            <v>0</v>
          </cell>
          <cell r="T39">
            <v>1993</v>
          </cell>
          <cell r="U39">
            <v>0</v>
          </cell>
          <cell r="Y39" t="str">
            <v>D67145 BZ060-00</v>
          </cell>
          <cell r="Z39">
            <v>2100</v>
          </cell>
          <cell r="AA39">
            <v>0</v>
          </cell>
          <cell r="AB39">
            <v>0</v>
          </cell>
        </row>
        <row r="40">
          <cell r="D40" t="str">
            <v>IFGV-8978500635</v>
          </cell>
          <cell r="E40">
            <v>1500</v>
          </cell>
          <cell r="F40">
            <v>0</v>
          </cell>
          <cell r="G40">
            <v>0</v>
          </cell>
          <cell r="R40" t="str">
            <v>D67142 BZ091-00</v>
          </cell>
          <cell r="S40">
            <v>0</v>
          </cell>
          <cell r="T40">
            <v>2021</v>
          </cell>
          <cell r="U40">
            <v>4</v>
          </cell>
          <cell r="Y40" t="str">
            <v>D67146 BZ060-00</v>
          </cell>
          <cell r="Z40">
            <v>2100</v>
          </cell>
          <cell r="AA40">
            <v>0</v>
          </cell>
          <cell r="AB40">
            <v>0</v>
          </cell>
        </row>
        <row r="41">
          <cell r="D41" t="str">
            <v>IFGV-8978500408</v>
          </cell>
          <cell r="E41">
            <v>3660</v>
          </cell>
          <cell r="F41">
            <v>0</v>
          </cell>
          <cell r="G41">
            <v>0</v>
          </cell>
          <cell r="R41" t="str">
            <v>D67141 BZ121-00</v>
          </cell>
          <cell r="S41">
            <v>276</v>
          </cell>
          <cell r="T41">
            <v>4</v>
          </cell>
          <cell r="U41">
            <v>0</v>
          </cell>
          <cell r="Y41" t="str">
            <v>VV-D57417-BZ120</v>
          </cell>
          <cell r="Z41">
            <v>4800</v>
          </cell>
          <cell r="AA41">
            <v>0</v>
          </cell>
          <cell r="AB41">
            <v>0</v>
          </cell>
        </row>
        <row r="42">
          <cell r="D42" t="str">
            <v>ISF-NPN2594434</v>
          </cell>
          <cell r="E42">
            <v>1494</v>
          </cell>
          <cell r="F42">
            <v>0</v>
          </cell>
          <cell r="G42">
            <v>0</v>
          </cell>
          <cell r="R42" t="str">
            <v>D67142 BZ121-00</v>
          </cell>
          <cell r="S42">
            <v>315</v>
          </cell>
          <cell r="T42">
            <v>45</v>
          </cell>
          <cell r="U42">
            <v>0</v>
          </cell>
          <cell r="Y42" t="str">
            <v>VV-D57418-BZ020</v>
          </cell>
          <cell r="Z42">
            <v>6200</v>
          </cell>
          <cell r="AA42">
            <v>0</v>
          </cell>
          <cell r="AB42">
            <v>0</v>
          </cell>
        </row>
        <row r="43">
          <cell r="D43" t="str">
            <v>ISF-NPN3465544</v>
          </cell>
          <cell r="E43">
            <v>1766</v>
          </cell>
          <cell r="F43">
            <v>0</v>
          </cell>
          <cell r="G43">
            <v>0</v>
          </cell>
          <cell r="R43" t="str">
            <v>D67142 BZ300-00</v>
          </cell>
          <cell r="S43">
            <v>0</v>
          </cell>
          <cell r="T43">
            <v>400</v>
          </cell>
          <cell r="U43">
            <v>2</v>
          </cell>
          <cell r="Y43" t="str">
            <v>IFGV-8982586380</v>
          </cell>
          <cell r="Z43">
            <v>680</v>
          </cell>
          <cell r="AA43">
            <v>0</v>
          </cell>
          <cell r="AB43">
            <v>0</v>
          </cell>
        </row>
        <row r="44">
          <cell r="D44" t="str">
            <v>ISF-NPN2594023</v>
          </cell>
          <cell r="E44">
            <v>1605</v>
          </cell>
          <cell r="F44">
            <v>0</v>
          </cell>
          <cell r="G44">
            <v>0</v>
          </cell>
          <cell r="R44" t="str">
            <v>D58111 BZ340-00</v>
          </cell>
          <cell r="S44">
            <v>4851</v>
          </cell>
          <cell r="T44">
            <v>52</v>
          </cell>
          <cell r="U44">
            <v>0</v>
          </cell>
          <cell r="Y44" t="str">
            <v>IFGV-8982586440</v>
          </cell>
          <cell r="Z44">
            <v>644</v>
          </cell>
          <cell r="AA44">
            <v>0</v>
          </cell>
          <cell r="AB44">
            <v>0</v>
          </cell>
        </row>
        <row r="45">
          <cell r="D45" t="str">
            <v>ISF-NPN2594024</v>
          </cell>
          <cell r="E45">
            <v>1605</v>
          </cell>
          <cell r="F45">
            <v>0</v>
          </cell>
          <cell r="G45">
            <v>0</v>
          </cell>
          <cell r="R45" t="str">
            <v>W-24334992</v>
          </cell>
          <cell r="S45">
            <v>150</v>
          </cell>
          <cell r="T45">
            <v>0</v>
          </cell>
          <cell r="U45">
            <v>0</v>
          </cell>
          <cell r="Y45" t="str">
            <v>IFGV-8978500195</v>
          </cell>
          <cell r="Z45">
            <v>1520</v>
          </cell>
          <cell r="AA45">
            <v>0</v>
          </cell>
          <cell r="AB45">
            <v>0</v>
          </cell>
        </row>
        <row r="46">
          <cell r="D46" t="str">
            <v>D52131 BZ170-00</v>
          </cell>
          <cell r="E46">
            <v>7500</v>
          </cell>
          <cell r="F46">
            <v>0</v>
          </cell>
          <cell r="G46">
            <v>0</v>
          </cell>
          <cell r="S46">
            <v>30464</v>
          </cell>
          <cell r="T46">
            <v>12185</v>
          </cell>
          <cell r="U46">
            <v>23</v>
          </cell>
          <cell r="Y46" t="str">
            <v>IFGV-8978500548</v>
          </cell>
          <cell r="Z46">
            <v>1560</v>
          </cell>
          <cell r="AA46">
            <v>0</v>
          </cell>
          <cell r="AB46">
            <v>0</v>
          </cell>
        </row>
        <row r="47">
          <cell r="D47" t="str">
            <v>D67147 BZ180-00</v>
          </cell>
          <cell r="E47">
            <v>6800</v>
          </cell>
          <cell r="F47">
            <v>0</v>
          </cell>
          <cell r="G47">
            <v>0</v>
          </cell>
          <cell r="Y47" t="str">
            <v>IFGV-8978500538</v>
          </cell>
          <cell r="Z47">
            <v>1560</v>
          </cell>
          <cell r="AA47">
            <v>0</v>
          </cell>
          <cell r="AB47">
            <v>0</v>
          </cell>
        </row>
        <row r="48">
          <cell r="D48" t="str">
            <v>D67148 BZ180-00</v>
          </cell>
          <cell r="E48">
            <v>6800</v>
          </cell>
          <cell r="F48">
            <v>0</v>
          </cell>
          <cell r="G48">
            <v>0</v>
          </cell>
          <cell r="Y48" t="str">
            <v>DV57417 BZ120-00</v>
          </cell>
          <cell r="Z48">
            <v>12556</v>
          </cell>
          <cell r="AA48">
            <v>0</v>
          </cell>
          <cell r="AB48">
            <v>0</v>
          </cell>
        </row>
        <row r="49">
          <cell r="D49" t="str">
            <v>DV61645 BZ080-00</v>
          </cell>
          <cell r="E49">
            <v>8640</v>
          </cell>
          <cell r="F49">
            <v>0</v>
          </cell>
          <cell r="G49">
            <v>0</v>
          </cell>
          <cell r="Y49" t="str">
            <v>DV57418 BZ020-00</v>
          </cell>
          <cell r="Z49">
            <v>11100</v>
          </cell>
          <cell r="AA49">
            <v>0</v>
          </cell>
          <cell r="AB49">
            <v>0</v>
          </cell>
        </row>
        <row r="50">
          <cell r="D50" t="str">
            <v>DV61646 BZ120-00</v>
          </cell>
          <cell r="E50">
            <v>8400</v>
          </cell>
          <cell r="F50">
            <v>0</v>
          </cell>
          <cell r="G50">
            <v>0</v>
          </cell>
          <cell r="Y50" t="str">
            <v>T57417 BZ120-00-28</v>
          </cell>
          <cell r="Z50">
            <v>9800</v>
          </cell>
          <cell r="AA50">
            <v>0</v>
          </cell>
          <cell r="AB50">
            <v>0</v>
          </cell>
        </row>
        <row r="51">
          <cell r="D51" t="str">
            <v>D55741 BZ510-00</v>
          </cell>
          <cell r="E51">
            <v>3800</v>
          </cell>
          <cell r="F51">
            <v>0</v>
          </cell>
          <cell r="G51">
            <v>0</v>
          </cell>
          <cell r="Y51" t="str">
            <v>T57417 BZ150-00-28</v>
          </cell>
          <cell r="Z51">
            <v>700</v>
          </cell>
          <cell r="AA51">
            <v>0</v>
          </cell>
          <cell r="AB51">
            <v>0</v>
          </cell>
        </row>
        <row r="52">
          <cell r="D52" t="str">
            <v>D55741 BZ520-00</v>
          </cell>
          <cell r="E52">
            <v>861</v>
          </cell>
          <cell r="F52">
            <v>0</v>
          </cell>
          <cell r="G52">
            <v>0</v>
          </cell>
          <cell r="Y52" t="str">
            <v>T57418 BZ020-00E28</v>
          </cell>
          <cell r="Z52">
            <v>500</v>
          </cell>
          <cell r="AA52">
            <v>0</v>
          </cell>
          <cell r="AB52">
            <v>0</v>
          </cell>
        </row>
        <row r="53">
          <cell r="D53" t="str">
            <v>D51222 BZ050</v>
          </cell>
          <cell r="E53">
            <v>9</v>
          </cell>
          <cell r="F53">
            <v>0</v>
          </cell>
          <cell r="G53">
            <v>0</v>
          </cell>
          <cell r="Y53" t="str">
            <v>T57418 BZ050-00-28</v>
          </cell>
          <cell r="Z53">
            <v>600</v>
          </cell>
          <cell r="AA53">
            <v>0</v>
          </cell>
          <cell r="AB53">
            <v>0</v>
          </cell>
        </row>
        <row r="54">
          <cell r="E54">
            <v>170847</v>
          </cell>
          <cell r="F54">
            <v>3758</v>
          </cell>
          <cell r="G54">
            <v>55</v>
          </cell>
          <cell r="Y54" t="str">
            <v>D67145 BZ160-00</v>
          </cell>
          <cell r="Z54">
            <v>4800</v>
          </cell>
          <cell r="AA54">
            <v>0</v>
          </cell>
          <cell r="AB54">
            <v>0</v>
          </cell>
        </row>
        <row r="55">
          <cell r="Y55" t="str">
            <v>D67146 BZ150-00</v>
          </cell>
          <cell r="Z55">
            <v>4800</v>
          </cell>
          <cell r="AA55">
            <v>0</v>
          </cell>
          <cell r="AB55">
            <v>0</v>
          </cell>
        </row>
        <row r="56">
          <cell r="Y56" t="str">
            <v>DV67147 BZ170-00</v>
          </cell>
          <cell r="Z56">
            <v>4400</v>
          </cell>
          <cell r="AA56">
            <v>0</v>
          </cell>
          <cell r="AB56">
            <v>0</v>
          </cell>
        </row>
        <row r="57">
          <cell r="Y57" t="str">
            <v>DV67148 BZ170-00</v>
          </cell>
          <cell r="Z57">
            <v>4400</v>
          </cell>
          <cell r="AA57">
            <v>0</v>
          </cell>
          <cell r="AB57">
            <v>0</v>
          </cell>
        </row>
        <row r="58">
          <cell r="Z58">
            <v>194717</v>
          </cell>
          <cell r="AA58">
            <v>300</v>
          </cell>
          <cell r="AB58">
            <v>12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pcs "/>
      <sheetName val="CEK PO 31 Aug 2024 15.21"/>
    </sheetNames>
    <sheetDataSet>
      <sheetData sheetId="0">
        <row r="3">
          <cell r="D3" t="str">
            <v>Data</v>
          </cell>
        </row>
        <row r="4">
          <cell r="C4" t="str">
            <v>JOB NO</v>
          </cell>
          <cell r="D4" t="str">
            <v>OK</v>
          </cell>
          <cell r="E4" t="str">
            <v>REPAIR</v>
          </cell>
          <cell r="F4" t="str">
            <v>REJECT</v>
          </cell>
        </row>
        <row r="5">
          <cell r="C5" t="str">
            <v>AAS-054=REINF  CTR FLOOR PANEL</v>
          </cell>
          <cell r="D5">
            <v>8263</v>
          </cell>
          <cell r="E5">
            <v>0</v>
          </cell>
          <cell r="F5">
            <v>0</v>
          </cell>
        </row>
        <row r="6">
          <cell r="C6" t="str">
            <v>AAS-058=PILLAR CTR BODY INNER RH</v>
          </cell>
          <cell r="D6">
            <v>8255</v>
          </cell>
          <cell r="E6">
            <v>0</v>
          </cell>
          <cell r="F6">
            <v>0</v>
          </cell>
        </row>
        <row r="7">
          <cell r="C7" t="str">
            <v>AAS-059=PILLAR CTR BODY INNER LH</v>
          </cell>
          <cell r="D7">
            <v>8255</v>
          </cell>
          <cell r="E7">
            <v>0</v>
          </cell>
          <cell r="F7">
            <v>0</v>
          </cell>
        </row>
        <row r="8">
          <cell r="C8" t="str">
            <v>AES-012=REINFORCEMENT, FR FLR PANEL, LH</v>
          </cell>
          <cell r="D8">
            <v>13667</v>
          </cell>
          <cell r="E8">
            <v>0</v>
          </cell>
          <cell r="F8">
            <v>0</v>
          </cell>
        </row>
        <row r="9">
          <cell r="C9" t="str">
            <v>AES-012V=REINFORCEMENT, FR FLOOR PNL,LH</v>
          </cell>
          <cell r="D9">
            <v>4200</v>
          </cell>
          <cell r="E9">
            <v>0</v>
          </cell>
          <cell r="F9">
            <v>0</v>
          </cell>
        </row>
        <row r="10">
          <cell r="C10" t="str">
            <v>AES-039=PANEL,ROOF SIDE INNER,FR RH</v>
          </cell>
          <cell r="D10">
            <v>6474</v>
          </cell>
          <cell r="E10">
            <v>0</v>
          </cell>
          <cell r="F10">
            <v>0</v>
          </cell>
        </row>
        <row r="11">
          <cell r="C11" t="str">
            <v>AES-042=PANEL,ROOF SIDE INNER,FR LH</v>
          </cell>
          <cell r="D11">
            <v>13074</v>
          </cell>
          <cell r="E11">
            <v>0</v>
          </cell>
          <cell r="F11">
            <v>0</v>
          </cell>
        </row>
        <row r="12">
          <cell r="C12" t="str">
            <v>AES-048=MEMBER, FR FLOOR CROSS SIDE, RH</v>
          </cell>
          <cell r="D12">
            <v>14820</v>
          </cell>
          <cell r="E12">
            <v>0</v>
          </cell>
          <cell r="F12">
            <v>1</v>
          </cell>
        </row>
        <row r="13">
          <cell r="C13" t="str">
            <v>G-001=PILLAR FR BODY INNER RH</v>
          </cell>
          <cell r="D13">
            <v>5</v>
          </cell>
          <cell r="E13">
            <v>0</v>
          </cell>
          <cell r="F13">
            <v>20</v>
          </cell>
        </row>
        <row r="14">
          <cell r="C14" t="str">
            <v>G-002=PILLAR FR BODY INNER LH</v>
          </cell>
          <cell r="D14">
            <v>721</v>
          </cell>
          <cell r="E14">
            <v>0</v>
          </cell>
          <cell r="F14">
            <v>21</v>
          </cell>
        </row>
        <row r="15">
          <cell r="C15" t="str">
            <v>G-003N=PILLAR, FR BODY, INNER RH</v>
          </cell>
          <cell r="D15">
            <v>1800</v>
          </cell>
          <cell r="E15">
            <v>0</v>
          </cell>
          <cell r="F15">
            <v>2</v>
          </cell>
        </row>
        <row r="16">
          <cell r="C16" t="str">
            <v>G-004=PILLAR FR BODY INNER LH</v>
          </cell>
          <cell r="D16">
            <v>67</v>
          </cell>
          <cell r="E16">
            <v>0</v>
          </cell>
          <cell r="F16">
            <v>0</v>
          </cell>
        </row>
        <row r="17">
          <cell r="C17" t="str">
            <v>G-004N=PILLAR, FR BODY, INNER LH</v>
          </cell>
          <cell r="D17">
            <v>1800</v>
          </cell>
          <cell r="E17">
            <v>0</v>
          </cell>
          <cell r="F17">
            <v>0</v>
          </cell>
        </row>
        <row r="18">
          <cell r="C18" t="str">
            <v>G-005=PILLAR FR BODY INNER RH</v>
          </cell>
          <cell r="D18">
            <v>4104</v>
          </cell>
          <cell r="E18">
            <v>0</v>
          </cell>
          <cell r="F18">
            <v>3</v>
          </cell>
        </row>
        <row r="19">
          <cell r="C19" t="str">
            <v>G-008=PILLAR FR BODY INNER LH</v>
          </cell>
          <cell r="D19">
            <v>3518</v>
          </cell>
          <cell r="E19">
            <v>0</v>
          </cell>
          <cell r="F19">
            <v>2</v>
          </cell>
        </row>
        <row r="20">
          <cell r="C20" t="str">
            <v>G-020=REINFORCEMENT BACK CORNER OUTER LH</v>
          </cell>
          <cell r="D20">
            <v>450</v>
          </cell>
          <cell r="E20">
            <v>0</v>
          </cell>
          <cell r="F20">
            <v>0</v>
          </cell>
        </row>
        <row r="21">
          <cell r="C21" t="str">
            <v>G-022=PANEL BACK CORNER INSIDE LH</v>
          </cell>
          <cell r="D21">
            <v>4168</v>
          </cell>
          <cell r="E21">
            <v>0</v>
          </cell>
          <cell r="F21">
            <v>0</v>
          </cell>
        </row>
        <row r="22">
          <cell r="C22" t="str">
            <v>G-031=PANEL, FR FLOOR, CTR RR</v>
          </cell>
          <cell r="D22">
            <v>5899</v>
          </cell>
          <cell r="E22">
            <v>0</v>
          </cell>
          <cell r="F22">
            <v>0</v>
          </cell>
        </row>
        <row r="23">
          <cell r="C23" t="str">
            <v>GT-6196=MEMBER, RR FLOOR SIDE, FR LH</v>
          </cell>
          <cell r="D23">
            <v>950</v>
          </cell>
          <cell r="E23">
            <v>0</v>
          </cell>
          <cell r="F23">
            <v>0</v>
          </cell>
        </row>
        <row r="24">
          <cell r="C24" t="str">
            <v>GT-6246=APPRON FRT FENDER RH</v>
          </cell>
          <cell r="D24">
            <v>566</v>
          </cell>
          <cell r="E24">
            <v>266</v>
          </cell>
          <cell r="F24">
            <v>0</v>
          </cell>
        </row>
        <row r="25">
          <cell r="C25" t="str">
            <v>GT-6247=APPRON FRT FENDER LH</v>
          </cell>
          <cell r="D25">
            <v>742</v>
          </cell>
          <cell r="E25">
            <v>90</v>
          </cell>
          <cell r="F25">
            <v>0</v>
          </cell>
        </row>
        <row r="26">
          <cell r="C26" t="str">
            <v>GT-6273(K-1015)=PANEL, COWL TOP, OUTER</v>
          </cell>
          <cell r="D26">
            <v>600</v>
          </cell>
          <cell r="E26">
            <v>0</v>
          </cell>
          <cell r="F26">
            <v>0</v>
          </cell>
        </row>
        <row r="27">
          <cell r="C27" t="str">
            <v>IB-036=FRAME FLR UNDER RH</v>
          </cell>
          <cell r="D27">
            <v>904</v>
          </cell>
          <cell r="E27">
            <v>0</v>
          </cell>
          <cell r="F27">
            <v>8</v>
          </cell>
        </row>
        <row r="28">
          <cell r="C28" t="str">
            <v>IB-037=FRAME FLR UNDER LH</v>
          </cell>
          <cell r="D28">
            <v>978</v>
          </cell>
          <cell r="E28">
            <v>0</v>
          </cell>
          <cell r="F28">
            <v>0</v>
          </cell>
        </row>
        <row r="29">
          <cell r="C29" t="str">
            <v>IB-050=FRAME FLOOR RR</v>
          </cell>
          <cell r="D29">
            <v>840</v>
          </cell>
          <cell r="E29">
            <v>0</v>
          </cell>
          <cell r="F29">
            <v>0</v>
          </cell>
        </row>
        <row r="30">
          <cell r="C30" t="str">
            <v>IB-077=FRAME SUB ASM;FLOOR RR</v>
          </cell>
          <cell r="D30">
            <v>60</v>
          </cell>
          <cell r="E30">
            <v>0</v>
          </cell>
          <cell r="F30">
            <v>0</v>
          </cell>
        </row>
        <row r="31">
          <cell r="C31" t="str">
            <v>K4051(Blank)=BLANK PNL BACK DOOR,INSIDE</v>
          </cell>
          <cell r="D31">
            <v>200</v>
          </cell>
          <cell r="E31">
            <v>0</v>
          </cell>
          <cell r="F31">
            <v>0</v>
          </cell>
        </row>
        <row r="32">
          <cell r="C32" t="str">
            <v>NX-4143=REINF PARKING BRAKE BASE TO FLR</v>
          </cell>
          <cell r="D32">
            <v>5315</v>
          </cell>
          <cell r="E32">
            <v>0</v>
          </cell>
          <cell r="F32">
            <v>1</v>
          </cell>
        </row>
        <row r="33">
          <cell r="C33" t="str">
            <v>PB-017=FRAME UNDER LH</v>
          </cell>
          <cell r="D33">
            <v>1380</v>
          </cell>
          <cell r="E33">
            <v>0</v>
          </cell>
          <cell r="F33">
            <v>0</v>
          </cell>
        </row>
        <row r="34">
          <cell r="C34" t="str">
            <v>PB-018=FRAME UNDER RH</v>
          </cell>
          <cell r="D34">
            <v>1380</v>
          </cell>
          <cell r="E34">
            <v>0</v>
          </cell>
          <cell r="F34">
            <v>0</v>
          </cell>
        </row>
        <row r="35">
          <cell r="C35" t="str">
            <v>PB-070=MOUNTING BRKT</v>
          </cell>
          <cell r="D35">
            <v>2400</v>
          </cell>
          <cell r="E35">
            <v>0</v>
          </cell>
          <cell r="F35">
            <v>0</v>
          </cell>
        </row>
        <row r="36">
          <cell r="C36" t="str">
            <v>PV-005BA1-BLK BODY SIDE RH</v>
          </cell>
          <cell r="D36">
            <v>1650</v>
          </cell>
          <cell r="E36">
            <v>0</v>
          </cell>
          <cell r="F36">
            <v>0</v>
          </cell>
        </row>
        <row r="37">
          <cell r="C37" t="str">
            <v>PV-006BA1-BLK BODY SIDE LH</v>
          </cell>
          <cell r="D37">
            <v>1200</v>
          </cell>
          <cell r="E37">
            <v>0</v>
          </cell>
          <cell r="F37">
            <v>0</v>
          </cell>
        </row>
        <row r="38">
          <cell r="C38" t="str">
            <v>PVS-001B1-REINF WAIST DOOR OTR FRT RH</v>
          </cell>
          <cell r="D38">
            <v>1500</v>
          </cell>
          <cell r="E38">
            <v>0</v>
          </cell>
          <cell r="F38">
            <v>0</v>
          </cell>
        </row>
        <row r="39">
          <cell r="C39" t="str">
            <v>PVS-002B1-REINF WAIST DOOR OTR RR RH</v>
          </cell>
          <cell r="D39">
            <v>1500</v>
          </cell>
          <cell r="E39">
            <v>0</v>
          </cell>
          <cell r="F39">
            <v>0</v>
          </cell>
        </row>
        <row r="40">
          <cell r="C40" t="str">
            <v>S-1013=REINFORCEMENT, FR BUMPER</v>
          </cell>
          <cell r="D40">
            <v>6200</v>
          </cell>
          <cell r="E40">
            <v>0</v>
          </cell>
          <cell r="F40">
            <v>0</v>
          </cell>
        </row>
        <row r="41">
          <cell r="C41" t="str">
            <v>S-4030=PANEL, RR DOOR HINGE SIDE, RH</v>
          </cell>
          <cell r="D41">
            <v>6600</v>
          </cell>
          <cell r="E41">
            <v>0</v>
          </cell>
          <cell r="F41">
            <v>0</v>
          </cell>
        </row>
        <row r="42">
          <cell r="C42" t="str">
            <v>S-4031=PANEL, RR DOOR HINGE SIDE, LH</v>
          </cell>
          <cell r="D42">
            <v>6600</v>
          </cell>
          <cell r="E42">
            <v>0</v>
          </cell>
          <cell r="F42">
            <v>0</v>
          </cell>
        </row>
        <row r="43">
          <cell r="C43" t="str">
            <v>SC-0767=GUSSET, QUARTER WHEEL HOUSE, RR</v>
          </cell>
          <cell r="D43">
            <v>8460</v>
          </cell>
          <cell r="E43">
            <v>0</v>
          </cell>
          <cell r="F43">
            <v>0</v>
          </cell>
        </row>
        <row r="44">
          <cell r="C44" t="str">
            <v>SC-0768=GUSSET QTR WHEEL HOUSE RR LH</v>
          </cell>
          <cell r="D44">
            <v>8400</v>
          </cell>
          <cell r="E44">
            <v>0</v>
          </cell>
          <cell r="F44">
            <v>0</v>
          </cell>
        </row>
        <row r="45">
          <cell r="C45" t="str">
            <v>SIPROS PV-005BA=JSC270D EX BODY SIDE</v>
          </cell>
          <cell r="D45">
            <v>2833</v>
          </cell>
          <cell r="E45">
            <v>0</v>
          </cell>
          <cell r="F45">
            <v>0</v>
          </cell>
        </row>
        <row r="46">
          <cell r="C46" t="str">
            <v>T-1005=PANEL COWL TOP INNER</v>
          </cell>
          <cell r="D46">
            <v>4127</v>
          </cell>
          <cell r="E46">
            <v>0</v>
          </cell>
          <cell r="F46">
            <v>0</v>
          </cell>
        </row>
        <row r="47">
          <cell r="C47" t="str">
            <v>T-1006=PANEL COWL TOP INNER LHD</v>
          </cell>
          <cell r="D47">
            <v>919</v>
          </cell>
          <cell r="E47">
            <v>0</v>
          </cell>
          <cell r="F47">
            <v>0</v>
          </cell>
        </row>
        <row r="48">
          <cell r="C48" t="str">
            <v>Y-1561(AX-3077)=CROSSMEMBER  FRAME NO.2</v>
          </cell>
          <cell r="D48">
            <v>18</v>
          </cell>
          <cell r="E48">
            <v>0</v>
          </cell>
          <cell r="F48">
            <v>0</v>
          </cell>
        </row>
        <row r="49">
          <cell r="D49">
            <v>165862</v>
          </cell>
          <cell r="E49">
            <v>356</v>
          </cell>
          <cell r="F49">
            <v>58</v>
          </cell>
        </row>
        <row r="122">
          <cell r="D122">
            <v>274459</v>
          </cell>
          <cell r="E122">
            <v>6852</v>
          </cell>
          <cell r="F122">
            <v>41</v>
          </cell>
        </row>
        <row r="231">
          <cell r="D231">
            <v>194821</v>
          </cell>
          <cell r="E231">
            <v>0</v>
          </cell>
          <cell r="F231">
            <v>256</v>
          </cell>
        </row>
      </sheetData>
      <sheetData sheetId="1"/>
      <sheetData sheetId="2">
        <row r="4">
          <cell r="G4" t="str">
            <v>Job No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AB69"/>
  <sheetViews>
    <sheetView showGridLines="0" zoomScale="145" zoomScaleNormal="145" zoomScaleSheetLayoutView="80" workbookViewId="0">
      <pane ySplit="6" topLeftCell="A7" activePane="bottomLeft" state="frozen"/>
      <selection activeCell="U12" sqref="U12"/>
      <selection pane="bottomLeft" activeCell="R16" sqref="R16"/>
    </sheetView>
  </sheetViews>
  <sheetFormatPr defaultColWidth="9.140625" defaultRowHeight="12" x14ac:dyDescent="0.2"/>
  <cols>
    <col min="1" max="1" width="1.7109375" style="6" customWidth="1"/>
    <col min="2" max="2" width="14.42578125" style="6" customWidth="1"/>
    <col min="3" max="3" width="22.140625" style="6" customWidth="1"/>
    <col min="4" max="4" width="9.7109375" style="6" customWidth="1"/>
    <col min="5" max="5" width="10.5703125" style="6" customWidth="1"/>
    <col min="6" max="6" width="8.7109375" style="32" hidden="1" customWidth="1"/>
    <col min="7" max="18" width="7.7109375" style="6" customWidth="1"/>
    <col min="19" max="19" width="1.42578125" style="6" customWidth="1"/>
    <col min="20" max="20" width="1.85546875" style="6" customWidth="1"/>
    <col min="21" max="22" width="5.7109375" style="6" customWidth="1"/>
    <col min="23" max="24" width="11" style="6" bestFit="1" customWidth="1"/>
    <col min="25" max="25" width="8.7109375" style="6" customWidth="1"/>
    <col min="26" max="26" width="13.28515625" style="6" customWidth="1"/>
    <col min="27" max="35" width="5.7109375" style="6" customWidth="1"/>
    <col min="36" max="16384" width="9.140625" style="6"/>
  </cols>
  <sheetData>
    <row r="1" spans="1:24" ht="10.15" customHeight="1" thickTop="1" x14ac:dyDescent="0.2">
      <c r="A1" s="1"/>
      <c r="B1" s="2"/>
      <c r="C1" s="3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"/>
    </row>
    <row r="2" spans="1:24" ht="15" customHeight="1" x14ac:dyDescent="0.2">
      <c r="A2" s="7"/>
      <c r="B2" s="186" t="s">
        <v>671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8"/>
      <c r="S2" s="8"/>
    </row>
    <row r="3" spans="1:24" ht="15" customHeight="1" x14ac:dyDescent="0.2">
      <c r="A3" s="7"/>
      <c r="B3" s="189" t="s">
        <v>0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1"/>
      <c r="S3" s="8"/>
    </row>
    <row r="4" spans="1:24" ht="6" customHeight="1" x14ac:dyDescent="0.2">
      <c r="A4" s="7"/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4"/>
      <c r="S4" s="8"/>
    </row>
    <row r="5" spans="1:24" ht="15" customHeight="1" x14ac:dyDescent="0.2">
      <c r="A5" s="7"/>
      <c r="B5" s="195" t="s">
        <v>1</v>
      </c>
      <c r="C5" s="195" t="s">
        <v>2</v>
      </c>
      <c r="D5" s="195"/>
      <c r="E5" s="196" t="s">
        <v>79</v>
      </c>
      <c r="F5" s="196" t="s">
        <v>34</v>
      </c>
      <c r="G5" s="197" t="s">
        <v>3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  <c r="S5" s="8"/>
    </row>
    <row r="6" spans="1:24" ht="22.9" customHeight="1" x14ac:dyDescent="0.2">
      <c r="A6" s="7"/>
      <c r="B6" s="195"/>
      <c r="C6" s="195"/>
      <c r="D6" s="195"/>
      <c r="E6" s="196"/>
      <c r="F6" s="196"/>
      <c r="G6" s="9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37" t="s">
        <v>9</v>
      </c>
      <c r="M6" s="9" t="s">
        <v>10</v>
      </c>
      <c r="N6" s="9" t="s">
        <v>11</v>
      </c>
      <c r="O6" s="9" t="s">
        <v>12</v>
      </c>
      <c r="P6" s="9" t="s">
        <v>13</v>
      </c>
      <c r="Q6" s="9" t="s">
        <v>41</v>
      </c>
      <c r="R6" s="9" t="s">
        <v>14</v>
      </c>
      <c r="S6" s="8"/>
    </row>
    <row r="7" spans="1:24" ht="13.9" customHeight="1" x14ac:dyDescent="0.2">
      <c r="A7" s="7"/>
      <c r="B7" s="36" t="s">
        <v>18</v>
      </c>
      <c r="C7" s="11" t="s">
        <v>31</v>
      </c>
      <c r="D7" s="12"/>
      <c r="E7" s="12"/>
      <c r="F7" s="13"/>
      <c r="G7" s="14"/>
      <c r="H7" s="14"/>
      <c r="I7" s="14"/>
      <c r="J7" s="14"/>
      <c r="K7" s="14"/>
      <c r="L7" s="12"/>
      <c r="M7" s="14"/>
      <c r="N7" s="14"/>
      <c r="O7" s="14"/>
      <c r="P7" s="14"/>
      <c r="Q7" s="14"/>
      <c r="R7" s="14"/>
      <c r="S7" s="8"/>
    </row>
    <row r="8" spans="1:24" ht="13.9" customHeight="1" x14ac:dyDescent="0.2">
      <c r="A8" s="7"/>
      <c r="B8" s="36"/>
      <c r="C8" s="10" t="s">
        <v>19</v>
      </c>
      <c r="D8" s="15" t="s">
        <v>16</v>
      </c>
      <c r="E8" s="15">
        <v>540</v>
      </c>
      <c r="F8" s="72">
        <v>537.35407905803197</v>
      </c>
      <c r="G8" s="123">
        <f>'DETAIL 2026'!D7</f>
        <v>440.21871139034204</v>
      </c>
      <c r="H8" s="123">
        <f>'DETAIL 2026'!E7</f>
        <v>449.13812244455875</v>
      </c>
      <c r="I8" s="123">
        <f>'DETAIL 2026'!F7</f>
        <v>454.16947904522306</v>
      </c>
      <c r="J8" s="123">
        <f>'DETAIL 2026'!G7</f>
        <v>458.80246466110913</v>
      </c>
      <c r="K8" s="123">
        <f>'DETAIL 2026'!H7</f>
        <v>455.38470020675396</v>
      </c>
      <c r="L8" s="123">
        <f>'DETAIL 2026'!I7</f>
        <v>457.14548779064489</v>
      </c>
      <c r="M8" s="123">
        <f>'DETAIL 2026'!J7</f>
        <v>457.51863403288053</v>
      </c>
      <c r="N8" s="123"/>
      <c r="O8" s="123"/>
      <c r="P8" s="123"/>
      <c r="Q8" s="123"/>
      <c r="R8" s="123"/>
      <c r="S8" s="8"/>
      <c r="T8" s="17"/>
    </row>
    <row r="9" spans="1:24" ht="13.9" customHeight="1" x14ac:dyDescent="0.2">
      <c r="A9" s="7"/>
      <c r="B9" s="36"/>
      <c r="C9" s="10" t="s">
        <v>20</v>
      </c>
      <c r="D9" s="15" t="s">
        <v>16</v>
      </c>
      <c r="E9" s="15">
        <v>550</v>
      </c>
      <c r="F9" s="72">
        <v>565.84341878325984</v>
      </c>
      <c r="G9" s="123">
        <f>'DETAIL 2026'!D15</f>
        <v>473.65622104850956</v>
      </c>
      <c r="H9" s="123">
        <f>'DETAIL 2026'!E15</f>
        <v>455.17729968946986</v>
      </c>
      <c r="I9" s="123">
        <f>'DETAIL 2026'!F15</f>
        <v>443.79730471370203</v>
      </c>
      <c r="J9" s="123">
        <f>'DETAIL 2026'!G15</f>
        <v>414.33667433905862</v>
      </c>
      <c r="K9" s="123">
        <f>'DETAIL 2026'!H15</f>
        <v>443.98242633706286</v>
      </c>
      <c r="L9" s="123">
        <f>'DETAIL 2026'!I15</f>
        <v>440.40308829603583</v>
      </c>
      <c r="M9" s="123">
        <f>'DETAIL 2026'!J15</f>
        <v>441.4709038874314</v>
      </c>
      <c r="N9" s="123"/>
      <c r="O9" s="123"/>
      <c r="P9" s="123"/>
      <c r="Q9" s="123"/>
      <c r="R9" s="123"/>
      <c r="S9" s="8"/>
      <c r="T9" s="17"/>
      <c r="X9" s="107"/>
    </row>
    <row r="10" spans="1:24" ht="13.9" customHeight="1" x14ac:dyDescent="0.2">
      <c r="A10" s="7"/>
      <c r="B10" s="36"/>
      <c r="C10" s="10" t="s">
        <v>21</v>
      </c>
      <c r="D10" s="15" t="s">
        <v>16</v>
      </c>
      <c r="E10" s="15">
        <v>355</v>
      </c>
      <c r="F10" s="72">
        <v>255.52571241401898</v>
      </c>
      <c r="G10" s="123">
        <f>'DETAIL 2026'!D23</f>
        <v>195.34378083023449</v>
      </c>
      <c r="H10" s="123">
        <f>'DETAIL 2026'!E23</f>
        <v>214.69456749825133</v>
      </c>
      <c r="I10" s="123">
        <f>'DETAIL 2026'!F23</f>
        <v>205.20642458726283</v>
      </c>
      <c r="J10" s="123">
        <f>'DETAIL 2026'!G23</f>
        <v>214.00496677629371</v>
      </c>
      <c r="K10" s="123">
        <f>'DETAIL 2026'!H23</f>
        <v>211.25409733693718</v>
      </c>
      <c r="L10" s="123">
        <f>'DETAIL 2026'!I23</f>
        <v>201.35463516144191</v>
      </c>
      <c r="M10" s="123">
        <f>'DETAIL 2026'!J23</f>
        <v>210.15225563909775</v>
      </c>
      <c r="N10" s="123"/>
      <c r="O10" s="123"/>
      <c r="P10" s="123"/>
      <c r="Q10" s="123"/>
      <c r="R10" s="123"/>
      <c r="S10" s="8"/>
      <c r="T10" s="17"/>
      <c r="X10" s="107"/>
    </row>
    <row r="11" spans="1:24" ht="13.9" customHeight="1" x14ac:dyDescent="0.2">
      <c r="A11" s="7"/>
      <c r="B11" s="36"/>
      <c r="C11" s="10" t="s">
        <v>22</v>
      </c>
      <c r="D11" s="15" t="s">
        <v>16</v>
      </c>
      <c r="E11" s="15">
        <v>535</v>
      </c>
      <c r="F11" s="72">
        <v>537.63713080168782</v>
      </c>
      <c r="G11" s="123">
        <f>'DETAIL 2026'!D31</f>
        <v>431.52985864776571</v>
      </c>
      <c r="H11" s="123">
        <f>'DETAIL 2026'!E31</f>
        <v>445.0710631040364</v>
      </c>
      <c r="I11" s="123">
        <f>'DETAIL 2026'!F31</f>
        <v>448.28354303180021</v>
      </c>
      <c r="J11" s="123">
        <f>'DETAIL 2026'!G31</f>
        <v>429.66083247536403</v>
      </c>
      <c r="K11" s="123">
        <f>'DETAIL 2026'!H31</f>
        <v>440.34578395706518</v>
      </c>
      <c r="L11" s="123">
        <f>'DETAIL 2026'!I31</f>
        <v>427.59333289063022</v>
      </c>
      <c r="M11" s="123">
        <f>'DETAIL 2026'!J31</f>
        <v>440.15541113308842</v>
      </c>
      <c r="N11" s="123"/>
      <c r="O11" s="123"/>
      <c r="P11" s="123"/>
      <c r="Q11" s="123"/>
      <c r="R11" s="123"/>
      <c r="S11" s="8"/>
      <c r="T11" s="17"/>
      <c r="X11" s="107"/>
    </row>
    <row r="12" spans="1:24" ht="13.9" customHeight="1" x14ac:dyDescent="0.2">
      <c r="A12" s="7"/>
      <c r="B12" s="36"/>
      <c r="C12" s="10" t="s">
        <v>54</v>
      </c>
      <c r="D12" s="15" t="s">
        <v>16</v>
      </c>
      <c r="E12" s="15">
        <v>450</v>
      </c>
      <c r="F12" s="72">
        <v>351.70983804841347</v>
      </c>
      <c r="G12" s="72">
        <f>'DETAIL 2026'!D39</f>
        <v>425.50909934525959</v>
      </c>
      <c r="H12" s="72">
        <f>'DETAIL 2026'!E39</f>
        <v>406.64380018807304</v>
      </c>
      <c r="I12" s="72">
        <f>'DETAIL 2026'!F39</f>
        <v>411.38721953045388</v>
      </c>
      <c r="J12" s="72">
        <f>'DETAIL 2026'!G39</f>
        <v>410.21979689737236</v>
      </c>
      <c r="K12" s="72">
        <f>'DETAIL 2026'!H39</f>
        <v>414.66227961261484</v>
      </c>
      <c r="L12" s="72">
        <f>'DETAIL 2026'!I39</f>
        <v>435.54652372711445</v>
      </c>
      <c r="M12" s="123">
        <f>'DETAIL 2026'!J39</f>
        <v>239.99999999999997</v>
      </c>
      <c r="N12" s="123"/>
      <c r="O12" s="123"/>
      <c r="P12" s="123"/>
      <c r="Q12" s="123"/>
      <c r="R12" s="123"/>
      <c r="S12" s="8"/>
      <c r="T12" s="17"/>
      <c r="X12" s="107"/>
    </row>
    <row r="13" spans="1:24" ht="13.9" customHeight="1" x14ac:dyDescent="0.2">
      <c r="A13" s="7"/>
      <c r="B13" s="36"/>
      <c r="C13" s="10" t="s">
        <v>55</v>
      </c>
      <c r="D13" s="15" t="s">
        <v>16</v>
      </c>
      <c r="E13" s="15">
        <v>550</v>
      </c>
      <c r="F13" s="16">
        <v>536.30442261092549</v>
      </c>
      <c r="G13" s="72">
        <f>'DETAIL 2026'!D47</f>
        <v>513.16500100299868</v>
      </c>
      <c r="H13" s="72">
        <f>'DETAIL 2026'!E47</f>
        <v>505.14388566696272</v>
      </c>
      <c r="I13" s="72">
        <f>'DETAIL 2026'!F47</f>
        <v>525.36892477142703</v>
      </c>
      <c r="J13" s="72">
        <f>'DETAIL 2026'!G47</f>
        <v>522.00439858567017</v>
      </c>
      <c r="K13" s="72">
        <f>'DETAIL 2026'!H47</f>
        <v>513.10875842155917</v>
      </c>
      <c r="L13" s="123">
        <f>'DETAIL 2026'!I47</f>
        <v>523.63075227103457</v>
      </c>
      <c r="M13" s="123">
        <f>'DETAIL 2026'!J47</f>
        <v>239.99999999999989</v>
      </c>
      <c r="N13" s="123"/>
      <c r="O13" s="123"/>
      <c r="P13" s="123"/>
      <c r="Q13" s="123"/>
      <c r="R13" s="123"/>
      <c r="S13" s="8"/>
      <c r="T13" s="17"/>
      <c r="X13" s="107"/>
    </row>
    <row r="14" spans="1:24" ht="13.9" customHeight="1" x14ac:dyDescent="0.2">
      <c r="A14" s="7"/>
      <c r="B14" s="36"/>
      <c r="C14" s="10" t="s">
        <v>83</v>
      </c>
      <c r="D14" s="15" t="s">
        <v>16</v>
      </c>
      <c r="E14" s="15">
        <v>550</v>
      </c>
      <c r="F14" s="72">
        <v>430.43227016116634</v>
      </c>
      <c r="G14" s="72">
        <f>'DETAIL 2026'!D55</f>
        <v>612.56158365009628</v>
      </c>
      <c r="H14" s="72">
        <f>'DETAIL 2026'!E55</f>
        <v>547.93794549266249</v>
      </c>
      <c r="I14" s="72">
        <f>'DETAIL 2026'!F55</f>
        <v>541.41131746723363</v>
      </c>
      <c r="J14" s="72">
        <f>'DETAIL 2026'!G55</f>
        <v>547.17153424308117</v>
      </c>
      <c r="K14" s="72">
        <f>'DETAIL 2026'!H55</f>
        <v>551.05138008205893</v>
      </c>
      <c r="L14" s="72">
        <f>'DETAIL 2026'!I55</f>
        <v>549.69238307834701</v>
      </c>
      <c r="M14" s="72">
        <f>'DETAIL 2026'!J55</f>
        <v>239.99999999999994</v>
      </c>
      <c r="N14" s="123"/>
      <c r="O14" s="123"/>
      <c r="P14" s="123"/>
      <c r="Q14" s="123"/>
      <c r="R14" s="123"/>
      <c r="S14" s="8"/>
      <c r="T14" s="17"/>
    </row>
    <row r="15" spans="1:24" ht="13.9" customHeight="1" x14ac:dyDescent="0.2">
      <c r="A15" s="7"/>
      <c r="B15" s="36"/>
      <c r="C15" s="10" t="s">
        <v>74</v>
      </c>
      <c r="D15" s="15" t="s">
        <v>16</v>
      </c>
      <c r="E15" s="15">
        <v>500</v>
      </c>
      <c r="F15" s="16">
        <v>486.12851927247596</v>
      </c>
      <c r="G15" s="72">
        <f>'DETAIL 2026'!D63</f>
        <v>476.31004551766284</v>
      </c>
      <c r="H15" s="72">
        <f>'DETAIL 2026'!E63</f>
        <v>457.144620362453</v>
      </c>
      <c r="I15" s="72">
        <f>'DETAIL 2026'!F63</f>
        <v>452.19075123692892</v>
      </c>
      <c r="J15" s="72">
        <f>'DETAIL 2026'!G63</f>
        <v>451.18406388142063</v>
      </c>
      <c r="K15" s="72">
        <f>'DETAIL 2026'!H63</f>
        <v>461.10915072133383</v>
      </c>
      <c r="L15" s="72">
        <f>'DETAIL 2026'!I63</f>
        <v>455.01032948176436</v>
      </c>
      <c r="M15" s="72">
        <f>'DETAIL 2026'!J63</f>
        <v>381.96460173159716</v>
      </c>
      <c r="N15" s="72"/>
      <c r="O15" s="72"/>
      <c r="P15" s="72"/>
      <c r="Q15" s="72"/>
      <c r="R15" s="72"/>
      <c r="S15" s="8"/>
      <c r="T15" s="17"/>
    </row>
    <row r="16" spans="1:24" ht="13.9" customHeight="1" x14ac:dyDescent="0.2">
      <c r="A16" s="7"/>
      <c r="B16" s="36"/>
      <c r="C16" s="77" t="s">
        <v>82</v>
      </c>
      <c r="D16" s="78" t="s">
        <v>17</v>
      </c>
      <c r="E16" s="78">
        <v>510</v>
      </c>
      <c r="F16" s="79"/>
      <c r="G16" s="79">
        <f>'DETAIL 2026'!D68</f>
        <v>476.31004551766284</v>
      </c>
      <c r="H16" s="79">
        <f>'DETAIL 2026'!E68</f>
        <v>466.51276279504862</v>
      </c>
      <c r="I16" s="79">
        <f>'DETAIL 2026'!F68</f>
        <v>462.58642584096879</v>
      </c>
      <c r="J16" s="79">
        <f>'DETAIL 2026'!G68</f>
        <v>459.3961922890478</v>
      </c>
      <c r="K16" s="79">
        <f>'DETAIL 2026'!H68</f>
        <v>459.73637532121523</v>
      </c>
      <c r="L16" s="79">
        <f>'DETAIL 2026'!I68</f>
        <v>458.94528907413684</v>
      </c>
      <c r="M16" s="79">
        <f>'DETAIL 2026'!J68</f>
        <v>451.86143699999042</v>
      </c>
      <c r="N16" s="79"/>
      <c r="O16" s="79"/>
      <c r="P16" s="79"/>
      <c r="Q16" s="79"/>
      <c r="R16" s="79"/>
      <c r="S16" s="8"/>
      <c r="T16" s="17"/>
    </row>
    <row r="17" spans="1:28" ht="13.9" customHeight="1" x14ac:dyDescent="0.2">
      <c r="A17" s="7"/>
      <c r="B17" s="36"/>
      <c r="C17" s="10" t="s">
        <v>58</v>
      </c>
      <c r="D17" s="15"/>
      <c r="E17" s="15"/>
      <c r="F17" s="16"/>
      <c r="G17" s="16"/>
      <c r="H17" s="72"/>
      <c r="I17" s="72"/>
      <c r="J17" s="72"/>
      <c r="K17" s="16"/>
      <c r="L17" s="72"/>
      <c r="M17" s="72"/>
      <c r="N17" s="72"/>
      <c r="O17" s="16"/>
      <c r="P17" s="16"/>
      <c r="Q17" s="16"/>
      <c r="R17" s="16"/>
      <c r="S17" s="8"/>
      <c r="T17" s="17"/>
      <c r="AB17" s="88"/>
    </row>
    <row r="18" spans="1:28" ht="13.9" customHeight="1" x14ac:dyDescent="0.2">
      <c r="A18" s="7"/>
      <c r="B18" s="36"/>
      <c r="C18" s="10"/>
      <c r="D18" s="15"/>
      <c r="E18" s="15"/>
      <c r="F18" s="16"/>
      <c r="G18" s="16"/>
      <c r="H18" s="72"/>
      <c r="I18" s="72"/>
      <c r="J18" s="72"/>
      <c r="K18" s="18"/>
      <c r="L18" s="18"/>
      <c r="M18" s="18"/>
      <c r="N18" s="18"/>
      <c r="O18" s="16"/>
      <c r="P18" s="16"/>
      <c r="Q18" s="16"/>
      <c r="R18" s="16"/>
      <c r="S18" s="8"/>
      <c r="T18" s="17"/>
    </row>
    <row r="19" spans="1:28" ht="13.9" customHeight="1" x14ac:dyDescent="0.2">
      <c r="A19" s="7"/>
      <c r="B19" s="36" t="s">
        <v>15</v>
      </c>
      <c r="C19" s="22" t="s">
        <v>32</v>
      </c>
      <c r="D19" s="15"/>
      <c r="E19" s="15"/>
      <c r="F19" s="15"/>
      <c r="G19" s="20"/>
      <c r="H19" s="20"/>
      <c r="I19" s="20"/>
      <c r="J19" s="21"/>
      <c r="K19" s="21"/>
      <c r="L19" s="21"/>
      <c r="M19" s="21"/>
      <c r="N19" s="21"/>
      <c r="O19" s="21"/>
      <c r="P19" s="21"/>
      <c r="Q19" s="21"/>
      <c r="R19" s="21"/>
      <c r="S19" s="8"/>
      <c r="V19" s="33"/>
      <c r="W19" s="33"/>
      <c r="X19" s="33"/>
    </row>
    <row r="20" spans="1:28" ht="13.9" customHeight="1" x14ac:dyDescent="0.2">
      <c r="A20" s="7"/>
      <c r="B20" s="36"/>
      <c r="C20" s="10" t="s">
        <v>23</v>
      </c>
      <c r="D20" s="15" t="s">
        <v>16</v>
      </c>
      <c r="E20" s="23">
        <v>0.01</v>
      </c>
      <c r="F20" s="23"/>
      <c r="G20" s="108">
        <f>'DETAIL 2026'!D84</f>
        <v>2.1540698457147471E-3</v>
      </c>
      <c r="H20" s="108">
        <f>'DETAIL 2026'!E84</f>
        <v>5.2051704693328708E-4</v>
      </c>
      <c r="I20" s="108">
        <f>'DETAIL 2026'!F84</f>
        <v>2.2372418340673057E-4</v>
      </c>
      <c r="J20" s="108">
        <f>'DETAIL 2026'!G84</f>
        <v>1.8190900076789456E-3</v>
      </c>
      <c r="K20" s="108">
        <f>'DETAIL 2026'!H84</f>
        <v>1.1330277591800999E-4</v>
      </c>
      <c r="L20" s="108">
        <f>'DETAIL 2026'!I84</f>
        <v>2.767697376122548E-3</v>
      </c>
      <c r="M20" s="108">
        <f>'DETAIL 2026'!J84</f>
        <v>1.2470921169388685E-3</v>
      </c>
      <c r="N20" s="23"/>
      <c r="O20" s="23"/>
      <c r="P20" s="23"/>
      <c r="Q20" s="23"/>
      <c r="R20" s="23"/>
      <c r="S20" s="8"/>
      <c r="V20" s="33"/>
      <c r="W20" s="33"/>
      <c r="X20" s="33"/>
    </row>
    <row r="21" spans="1:28" ht="13.9" customHeight="1" x14ac:dyDescent="0.2">
      <c r="A21" s="7"/>
      <c r="B21" s="10"/>
      <c r="C21" s="10" t="s">
        <v>24</v>
      </c>
      <c r="D21" s="15" t="s">
        <v>16</v>
      </c>
      <c r="E21" s="23">
        <v>0.01</v>
      </c>
      <c r="F21" s="23"/>
      <c r="G21" s="108">
        <f>'DETAIL 2026'!D105</f>
        <v>5.9926048705852353E-3</v>
      </c>
      <c r="H21" s="122">
        <f>'DETAIL 2026'!E105</f>
        <v>1.75985643537361E-2</v>
      </c>
      <c r="I21" s="122">
        <f>'DETAIL 2026'!F105</f>
        <v>1.4827985016657748E-2</v>
      </c>
      <c r="J21" s="108">
        <f>'DETAIL 2026'!G105</f>
        <v>6.6699598548656857E-3</v>
      </c>
      <c r="K21" s="108">
        <f>'DETAIL 2026'!H105</f>
        <v>8.1402370437027129E-4</v>
      </c>
      <c r="L21" s="122">
        <f>'DETAIL 2026'!I105</f>
        <v>1.4187320455982809E-2</v>
      </c>
      <c r="M21" s="108">
        <f>'DETAIL 2026'!J105</f>
        <v>9.2252659324108064E-3</v>
      </c>
      <c r="N21" s="23"/>
      <c r="O21" s="23"/>
      <c r="P21" s="23"/>
      <c r="Q21" s="23"/>
      <c r="R21" s="23"/>
      <c r="S21" s="8"/>
      <c r="V21" s="33"/>
      <c r="W21" s="33"/>
      <c r="X21" s="33"/>
    </row>
    <row r="22" spans="1:28" ht="13.9" customHeight="1" x14ac:dyDescent="0.2">
      <c r="A22" s="7"/>
      <c r="B22" s="10"/>
      <c r="C22" s="10" t="s">
        <v>25</v>
      </c>
      <c r="D22" s="15" t="s">
        <v>16</v>
      </c>
      <c r="E22" s="23">
        <v>0.01</v>
      </c>
      <c r="F22" s="23"/>
      <c r="G22" s="122">
        <f>'DETAIL 2026'!D126</f>
        <v>3.7548034631232928E-2</v>
      </c>
      <c r="H22" s="122">
        <f>'DETAIL 2026'!E126</f>
        <v>3.5991074213595028E-2</v>
      </c>
      <c r="I22" s="122">
        <f>'DETAIL 2026'!F126</f>
        <v>3.2952929341982032E-2</v>
      </c>
      <c r="J22" s="122">
        <f>'DETAIL 2026'!G126</f>
        <v>3.8486486486486483E-2</v>
      </c>
      <c r="K22" s="122">
        <f>'DETAIL 2026'!H126</f>
        <v>3.0477097532664664E-2</v>
      </c>
      <c r="L22" s="122">
        <f>'DETAIL 2026'!I126</f>
        <v>4.0752712999307321E-2</v>
      </c>
      <c r="M22" s="122">
        <f>'DETAIL 2026'!J126</f>
        <v>3.7100053948624312E-2</v>
      </c>
      <c r="N22" s="122"/>
      <c r="O22" s="122"/>
      <c r="P22" s="122"/>
      <c r="Q22" s="122"/>
      <c r="R22" s="122"/>
      <c r="S22" s="8"/>
      <c r="V22" s="33"/>
      <c r="W22" s="33"/>
      <c r="X22" s="33"/>
    </row>
    <row r="23" spans="1:28" ht="13.9" customHeight="1" x14ac:dyDescent="0.2">
      <c r="A23" s="7"/>
      <c r="B23" s="10"/>
      <c r="C23" s="10" t="s">
        <v>26</v>
      </c>
      <c r="D23" s="15" t="s">
        <v>16</v>
      </c>
      <c r="E23" s="23">
        <v>0.01</v>
      </c>
      <c r="F23" s="23"/>
      <c r="G23" s="122">
        <f>'DETAIL 2026'!D147</f>
        <v>1.2898856710353344E-2</v>
      </c>
      <c r="H23" s="122">
        <f>'DETAIL 2026'!E147</f>
        <v>1.8018556870602838E-2</v>
      </c>
      <c r="I23" s="122">
        <f>'DETAIL 2026'!F147</f>
        <v>1.5369595267324627E-2</v>
      </c>
      <c r="J23" s="108">
        <f>'DETAIL 2026'!G147</f>
        <v>2.9494299173316928E-3</v>
      </c>
      <c r="K23" s="108">
        <f>'DETAIL 2026'!H147</f>
        <v>5.6271277768252959E-3</v>
      </c>
      <c r="L23" s="108">
        <f>'DETAIL 2026'!I147</f>
        <v>5.6098924130222163E-3</v>
      </c>
      <c r="M23" s="108">
        <f>'DETAIL 2026'!J147</f>
        <v>1.0168842284188916E-2</v>
      </c>
      <c r="N23" s="108"/>
      <c r="O23" s="108"/>
      <c r="P23" s="108"/>
      <c r="Q23" s="108"/>
      <c r="R23" s="108"/>
      <c r="S23" s="8"/>
      <c r="V23" s="33"/>
      <c r="W23" s="33"/>
      <c r="X23" s="33"/>
    </row>
    <row r="24" spans="1:28" ht="13.9" customHeight="1" x14ac:dyDescent="0.2">
      <c r="A24" s="7"/>
      <c r="B24" s="10"/>
      <c r="C24" s="10" t="s">
        <v>56</v>
      </c>
      <c r="D24" s="15" t="s">
        <v>16</v>
      </c>
      <c r="E24" s="23">
        <v>0.01</v>
      </c>
      <c r="F24" s="23"/>
      <c r="G24" s="122">
        <f>'DETAIL 2026'!D168</f>
        <v>1.5388253097512532E-2</v>
      </c>
      <c r="H24" s="122">
        <f>'DETAIL 2026'!E168</f>
        <v>1.9259047679498979E-2</v>
      </c>
      <c r="I24" s="122">
        <f>'DETAIL 2026'!F168</f>
        <v>1.5421673955022329E-2</v>
      </c>
      <c r="J24" s="122">
        <f>'DETAIL 2026'!G168</f>
        <v>2.3448769148238659E-2</v>
      </c>
      <c r="K24" s="122">
        <f>'DETAIL 2026'!H168</f>
        <v>3.0494237812048516E-2</v>
      </c>
      <c r="L24" s="122">
        <f>'DETAIL 2026'!I168</f>
        <v>2.3227833469936742E-2</v>
      </c>
      <c r="M24" s="122">
        <f>'DETAIL 2026'!J168</f>
        <v>1.8551139846557877E-2</v>
      </c>
      <c r="N24" s="122"/>
      <c r="O24" s="122"/>
      <c r="P24" s="122"/>
      <c r="Q24" s="122"/>
      <c r="R24" s="122"/>
      <c r="S24" s="8"/>
    </row>
    <row r="25" spans="1:28" ht="13.9" customHeight="1" x14ac:dyDescent="0.2">
      <c r="A25" s="7"/>
      <c r="B25" s="10"/>
      <c r="C25" s="10" t="s">
        <v>57</v>
      </c>
      <c r="D25" s="15" t="s">
        <v>16</v>
      </c>
      <c r="E25" s="23">
        <v>0.01</v>
      </c>
      <c r="F25" s="23"/>
      <c r="G25" s="23">
        <f>'DETAIL 2026'!D189</f>
        <v>1.7748340431016959E-3</v>
      </c>
      <c r="H25" s="108">
        <f>'DETAIL 2026'!E189</f>
        <v>2.1076826140589088E-3</v>
      </c>
      <c r="I25" s="108">
        <f>'DETAIL 2026'!F189</f>
        <v>2.2859954280091441E-3</v>
      </c>
      <c r="J25" s="108">
        <f>'DETAIL 2026'!G189</f>
        <v>6.1378167590592442E-3</v>
      </c>
      <c r="K25" s="108">
        <f>'DETAIL 2026'!H189</f>
        <v>3.7757297714262517E-3</v>
      </c>
      <c r="L25" s="108">
        <f>'DETAIL 2026'!I189</f>
        <v>5.5571138068859129E-3</v>
      </c>
      <c r="M25" s="108">
        <f>'DETAIL 2026'!J189</f>
        <v>9.2221847806695876E-3</v>
      </c>
      <c r="N25" s="23"/>
      <c r="O25" s="23"/>
      <c r="P25" s="23"/>
      <c r="Q25" s="23"/>
      <c r="R25" s="23"/>
      <c r="S25" s="8"/>
      <c r="W25" s="33"/>
      <c r="X25" s="33"/>
      <c r="Y25" s="33"/>
      <c r="Z25" s="33"/>
    </row>
    <row r="26" spans="1:28" ht="13.9" customHeight="1" x14ac:dyDescent="0.2">
      <c r="A26" s="7"/>
      <c r="B26" s="10"/>
      <c r="C26" s="10" t="s">
        <v>86</v>
      </c>
      <c r="D26" s="15" t="s">
        <v>16</v>
      </c>
      <c r="E26" s="23">
        <v>0.01</v>
      </c>
      <c r="F26" s="23"/>
      <c r="G26" s="23">
        <f>'DETAIL 2026'!D210</f>
        <v>0</v>
      </c>
      <c r="H26" s="108">
        <f>'DETAIL 2026'!E210</f>
        <v>0</v>
      </c>
      <c r="I26" s="108">
        <f>'DETAIL 2026'!F210</f>
        <v>0</v>
      </c>
      <c r="J26" s="108">
        <f>'DETAIL 2026'!G210</f>
        <v>0</v>
      </c>
      <c r="K26" s="108">
        <f>'DETAIL 2026'!H210</f>
        <v>7.5486860327936122E-3</v>
      </c>
      <c r="L26" s="108">
        <f>'DETAIL 2026'!I210</f>
        <v>0</v>
      </c>
      <c r="M26" s="108">
        <f>'DETAIL 2026'!J210</f>
        <v>9.2225745782024346E-3</v>
      </c>
      <c r="N26" s="23"/>
      <c r="O26" s="23"/>
      <c r="P26" s="23"/>
      <c r="Q26" s="23"/>
      <c r="R26" s="23"/>
      <c r="S26" s="8"/>
      <c r="W26" s="33"/>
      <c r="X26" s="33"/>
      <c r="Y26" s="33"/>
      <c r="Z26" s="33"/>
    </row>
    <row r="27" spans="1:28" ht="13.9" customHeight="1" x14ac:dyDescent="0.2">
      <c r="A27" s="7"/>
      <c r="B27" s="10"/>
      <c r="C27" s="10" t="s">
        <v>75</v>
      </c>
      <c r="D27" s="15" t="s">
        <v>16</v>
      </c>
      <c r="E27" s="23">
        <v>0.01</v>
      </c>
      <c r="F27" s="23"/>
      <c r="G27" s="108">
        <f>'DETAIL 2026'!D231</f>
        <v>6.1137500029871741E-3</v>
      </c>
      <c r="H27" s="108">
        <f>'DETAIL 2026'!E231</f>
        <v>9.662610355523741E-3</v>
      </c>
      <c r="I27" s="108">
        <f>'DETAIL 2026'!F231</f>
        <v>8.4733668225893816E-3</v>
      </c>
      <c r="J27" s="108">
        <f>'DETAIL 2026'!G231</f>
        <v>6.4948578927638816E-3</v>
      </c>
      <c r="K27" s="108">
        <f>'DETAIL 2026'!H231</f>
        <v>7.5743869276529057E-3</v>
      </c>
      <c r="L27" s="108">
        <f>'DETAIL 2026'!I231</f>
        <v>8.8782084958835671E-3</v>
      </c>
      <c r="M27" s="108">
        <f>'DETAIL 2026'!J231</f>
        <v>1.0419599485037333E-2</v>
      </c>
      <c r="N27" s="23"/>
      <c r="O27" s="23"/>
      <c r="P27" s="23"/>
      <c r="Q27" s="23"/>
      <c r="R27" s="23"/>
      <c r="S27" s="8"/>
      <c r="W27" s="33"/>
      <c r="X27" s="33"/>
      <c r="Y27" s="33"/>
      <c r="Z27" s="33"/>
    </row>
    <row r="28" spans="1:28" ht="13.9" customHeight="1" x14ac:dyDescent="0.2">
      <c r="A28" s="7"/>
      <c r="B28" s="10"/>
      <c r="C28" s="77" t="s">
        <v>84</v>
      </c>
      <c r="D28" s="78" t="s">
        <v>17</v>
      </c>
      <c r="E28" s="87">
        <v>0.01</v>
      </c>
      <c r="F28" s="87"/>
      <c r="G28" s="180">
        <f>'DETAIL 2026'!D236</f>
        <v>6.1137500029871741E-3</v>
      </c>
      <c r="H28" s="180">
        <f>'DETAIL 2026'!E236</f>
        <v>8.0866871926061346E-3</v>
      </c>
      <c r="I28" s="180">
        <f>'DETAIL 2026'!F236</f>
        <v>8.196980365931205E-3</v>
      </c>
      <c r="J28" s="180">
        <f>'DETAIL 2026'!G236</f>
        <v>7.713036325189211E-3</v>
      </c>
      <c r="K28" s="180">
        <f>'DETAIL 2026'!H236</f>
        <v>7.683901382619155E-3</v>
      </c>
      <c r="L28" s="180">
        <f>'DETAIL 2026'!I236</f>
        <v>7.8918656935671339E-3</v>
      </c>
      <c r="M28" s="180">
        <f>'DETAIL 2026'!J236</f>
        <v>8.2384401191377601E-3</v>
      </c>
      <c r="N28" s="80"/>
      <c r="O28" s="80"/>
      <c r="P28" s="80"/>
      <c r="Q28" s="80"/>
      <c r="R28" s="80"/>
      <c r="S28" s="8"/>
      <c r="W28" s="33"/>
      <c r="X28" s="33"/>
      <c r="Y28" s="33"/>
      <c r="Z28" s="33"/>
    </row>
    <row r="29" spans="1:28" ht="13.9" customHeight="1" x14ac:dyDescent="0.2">
      <c r="A29" s="7"/>
      <c r="B29" s="10"/>
      <c r="C29" s="10"/>
      <c r="D29" s="15"/>
      <c r="E29" s="15"/>
      <c r="F29" s="15"/>
      <c r="G29" s="24"/>
      <c r="H29" s="24"/>
      <c r="I29" s="24"/>
      <c r="J29" s="24"/>
      <c r="K29" s="24"/>
      <c r="L29" s="24"/>
      <c r="M29" s="24"/>
      <c r="N29" s="21"/>
      <c r="O29" s="20"/>
      <c r="P29" s="20"/>
      <c r="Q29" s="20"/>
      <c r="R29" s="20"/>
      <c r="S29" s="8"/>
      <c r="W29" s="33"/>
      <c r="X29" s="33"/>
      <c r="Y29" s="33"/>
      <c r="Z29" s="33"/>
    </row>
    <row r="30" spans="1:28" ht="13.9" customHeight="1" x14ac:dyDescent="0.2">
      <c r="A30" s="7"/>
      <c r="B30" s="10"/>
      <c r="C30" s="22" t="s">
        <v>33</v>
      </c>
      <c r="D30" s="15"/>
      <c r="E30" s="15"/>
      <c r="F30" s="15"/>
      <c r="G30" s="24"/>
      <c r="H30" s="24"/>
      <c r="I30" s="24"/>
      <c r="J30" s="24"/>
      <c r="K30" s="24"/>
      <c r="L30" s="24"/>
      <c r="M30" s="24"/>
      <c r="N30" s="21"/>
      <c r="O30" s="20"/>
      <c r="P30" s="20"/>
      <c r="Q30" s="20"/>
      <c r="R30" s="20"/>
      <c r="S30" s="8"/>
    </row>
    <row r="31" spans="1:28" ht="13.9" customHeight="1" x14ac:dyDescent="0.2">
      <c r="A31" s="7"/>
      <c r="B31" s="10"/>
      <c r="C31" s="10" t="s">
        <v>27</v>
      </c>
      <c r="D31" s="15" t="s">
        <v>16</v>
      </c>
      <c r="E31" s="73">
        <v>2.0000000000000001E-4</v>
      </c>
      <c r="F31" s="25"/>
      <c r="G31" s="179">
        <f>'DETAIL 2026'!D85</f>
        <v>3.5901164095245788E-5</v>
      </c>
      <c r="H31" s="120">
        <f>'DETAIL 2026'!E85</f>
        <v>1.7350568231109568E-4</v>
      </c>
      <c r="I31" s="120">
        <f>'DETAIL 2026'!F85</f>
        <v>5.5342298000612294E-4</v>
      </c>
      <c r="J31" s="179">
        <f>'DETAIL 2026'!G85</f>
        <v>5.9642295333735917E-5</v>
      </c>
      <c r="K31" s="179">
        <f>'DETAIL 2026'!H85</f>
        <v>1.0300252356182726E-4</v>
      </c>
      <c r="L31" s="179">
        <f>'DETAIL 2026'!I85</f>
        <v>1.0033948191380838E-4</v>
      </c>
      <c r="M31" s="179">
        <f>'DETAIL 2026'!J85</f>
        <v>1.4389524426217714E-4</v>
      </c>
      <c r="N31" s="120"/>
      <c r="O31" s="120"/>
      <c r="P31" s="120"/>
      <c r="Q31" s="120"/>
      <c r="R31" s="120"/>
      <c r="S31" s="8"/>
      <c r="W31" s="33"/>
      <c r="X31" s="33"/>
      <c r="Y31" s="33"/>
      <c r="Z31" s="33"/>
    </row>
    <row r="32" spans="1:28" ht="13.9" customHeight="1" x14ac:dyDescent="0.2">
      <c r="A32" s="7"/>
      <c r="B32" s="10"/>
      <c r="C32" s="10" t="s">
        <v>28</v>
      </c>
      <c r="D32" s="15" t="s">
        <v>16</v>
      </c>
      <c r="E32" s="73">
        <v>2.0000000000000001E-4</v>
      </c>
      <c r="F32" s="25"/>
      <c r="G32" s="179">
        <f>'DETAIL 2026'!D106</f>
        <v>5.9681895497000988E-5</v>
      </c>
      <c r="H32" s="120">
        <f>'DETAIL 2026'!E106</f>
        <v>1.9581501182326083E-4</v>
      </c>
      <c r="I32" s="120">
        <f>'DETAIL 2026'!F106</f>
        <v>2.6928587457492536E-4</v>
      </c>
      <c r="J32" s="179">
        <f>'DETAIL 2026'!G106</f>
        <v>0</v>
      </c>
      <c r="K32" s="179">
        <f>'DETAIL 2026'!H106</f>
        <v>1.0064293072214263E-4</v>
      </c>
      <c r="L32" s="179">
        <f>'DETAIL 2026'!I106</f>
        <v>1.0697912963038711E-4</v>
      </c>
      <c r="M32" s="120">
        <f>'DETAIL 2026'!J106</f>
        <v>2.0823884139331753E-4</v>
      </c>
      <c r="N32" s="73"/>
      <c r="O32" s="73"/>
      <c r="P32" s="73"/>
      <c r="Q32" s="73"/>
      <c r="R32" s="73"/>
      <c r="S32" s="8"/>
      <c r="W32" s="33"/>
      <c r="X32" s="33"/>
      <c r="Y32" s="33"/>
      <c r="Z32" s="33"/>
    </row>
    <row r="33" spans="1:26" ht="13.9" customHeight="1" x14ac:dyDescent="0.2">
      <c r="A33" s="7"/>
      <c r="B33" s="10"/>
      <c r="C33" s="10" t="s">
        <v>29</v>
      </c>
      <c r="D33" s="15" t="s">
        <v>16</v>
      </c>
      <c r="E33" s="73">
        <v>2.0000000000000001E-4</v>
      </c>
      <c r="F33" s="73"/>
      <c r="G33" s="120">
        <f>'DETAIL 2026'!D127</f>
        <v>2.4075188666141949E-3</v>
      </c>
      <c r="H33" s="120">
        <f>'DETAIL 2026'!E127</f>
        <v>2.0155001559613215E-3</v>
      </c>
      <c r="I33" s="120">
        <f>'DETAIL 2026'!F127</f>
        <v>5.203094106628742E-4</v>
      </c>
      <c r="J33" s="179">
        <f>'DETAIL 2026'!G127</f>
        <v>1.4414414414414415E-4</v>
      </c>
      <c r="K33" s="179">
        <f>'DETAIL 2026'!H127</f>
        <v>2.3810232447394269E-4</v>
      </c>
      <c r="L33" s="120">
        <f>'DETAIL 2026'!I127</f>
        <v>2.3089355806972986E-4</v>
      </c>
      <c r="M33" s="120">
        <f>'DETAIL 2026'!J127</f>
        <v>2.4899365066190812E-4</v>
      </c>
      <c r="N33" s="120"/>
      <c r="O33" s="120"/>
      <c r="P33" s="120"/>
      <c r="Q33" s="120"/>
      <c r="R33" s="120"/>
      <c r="S33" s="8"/>
      <c r="W33" s="33"/>
      <c r="X33" s="33"/>
      <c r="Y33" s="33"/>
      <c r="Z33" s="33"/>
    </row>
    <row r="34" spans="1:26" ht="13.9" customHeight="1" x14ac:dyDescent="0.2">
      <c r="A34" s="7"/>
      <c r="B34" s="10"/>
      <c r="C34" s="10" t="s">
        <v>30</v>
      </c>
      <c r="D34" s="15" t="s">
        <v>16</v>
      </c>
      <c r="E34" s="73">
        <v>2.0000000000000001E-4</v>
      </c>
      <c r="F34" s="25"/>
      <c r="G34" s="179">
        <f>'DETAIL 2026'!D148</f>
        <v>1.4340915428434848E-4</v>
      </c>
      <c r="H34" s="120">
        <f>'DETAIL 2026'!E148</f>
        <v>1.0467211460101233E-4</v>
      </c>
      <c r="I34" s="120">
        <f>'DETAIL 2026'!F148</f>
        <v>1.9332824235628461E-4</v>
      </c>
      <c r="J34" s="179">
        <f>'DETAIL 2026'!G148</f>
        <v>8.4269426209476941E-6</v>
      </c>
      <c r="K34" s="179">
        <f>'DETAIL 2026'!H148</f>
        <v>1.1021577800093072E-4</v>
      </c>
      <c r="L34" s="179">
        <f>'DETAIL 2026'!I148</f>
        <v>5.588933910856504E-5</v>
      </c>
      <c r="M34" s="120">
        <f>'DETAIL 2026'!J148</f>
        <v>2.453928979704212E-4</v>
      </c>
      <c r="N34" s="120"/>
      <c r="O34" s="120"/>
      <c r="P34" s="120"/>
      <c r="Q34" s="120"/>
      <c r="R34" s="120"/>
      <c r="S34" s="8"/>
      <c r="W34" s="33"/>
      <c r="X34" s="33"/>
      <c r="Y34" s="33"/>
      <c r="Z34" s="33"/>
    </row>
    <row r="35" spans="1:26" ht="13.9" customHeight="1" x14ac:dyDescent="0.2">
      <c r="A35" s="7"/>
      <c r="B35" s="19"/>
      <c r="C35" s="10" t="s">
        <v>35</v>
      </c>
      <c r="D35" s="15" t="s">
        <v>16</v>
      </c>
      <c r="E35" s="73">
        <v>2.0000000000000001E-4</v>
      </c>
      <c r="F35" s="73"/>
      <c r="G35" s="121">
        <f>'DETAIL 2026'!D169</f>
        <v>2.8374160597748982E-4</v>
      </c>
      <c r="H35" s="181">
        <f>'DETAIL 2026'!E169</f>
        <v>1.1425307055127106E-3</v>
      </c>
      <c r="I35" s="181">
        <f>'DETAIL 2026'!F169</f>
        <v>1.5196055661360214E-3</v>
      </c>
      <c r="J35" s="181">
        <f>'DETAIL 2026'!G169</f>
        <v>7.8083089944566968E-4</v>
      </c>
      <c r="K35" s="181">
        <f>'DETAIL 2026'!H169</f>
        <v>1.1490777139401269E-3</v>
      </c>
      <c r="L35" s="121">
        <f>'DETAIL 2026'!I169</f>
        <v>6.1996931677279696E-4</v>
      </c>
      <c r="M35" s="121">
        <f>'DETAIL 2026'!J169</f>
        <v>9.0981242377901239E-4</v>
      </c>
      <c r="N35" s="121"/>
      <c r="O35" s="121"/>
      <c r="P35" s="121"/>
      <c r="Q35" s="121"/>
      <c r="R35" s="121"/>
      <c r="S35" s="8"/>
    </row>
    <row r="36" spans="1:26" ht="13.9" customHeight="1" x14ac:dyDescent="0.2">
      <c r="A36" s="7"/>
      <c r="B36" s="10"/>
      <c r="C36" s="10" t="s">
        <v>36</v>
      </c>
      <c r="D36" s="15" t="s">
        <v>16</v>
      </c>
      <c r="E36" s="73">
        <v>2.0000000000000001E-4</v>
      </c>
      <c r="F36" s="73"/>
      <c r="G36" s="120">
        <f>'DETAIL 2026'!D190</f>
        <v>3.8173804837662178E-4</v>
      </c>
      <c r="H36" s="179">
        <f>'DETAIL 2026'!E190</f>
        <v>6.300861709397158E-4</v>
      </c>
      <c r="I36" s="179">
        <f>'DETAIL 2026'!F190</f>
        <v>4.6199907600184798E-4</v>
      </c>
      <c r="J36" s="179">
        <f>'DETAIL 2026'!G190</f>
        <v>7.1137946889449891E-4</v>
      </c>
      <c r="K36" s="179">
        <f>'DETAIL 2026'!H190</f>
        <v>6.8567613531277203E-4</v>
      </c>
      <c r="L36" s="120">
        <f>'DETAIL 2026'!I190</f>
        <v>3.5060654933034147E-4</v>
      </c>
      <c r="M36" s="120">
        <f>'DETAIL 2026'!J190</f>
        <v>5.7979345477611054E-4</v>
      </c>
      <c r="N36" s="120"/>
      <c r="O36" s="120"/>
      <c r="P36" s="120"/>
      <c r="Q36" s="120"/>
      <c r="R36" s="120"/>
      <c r="S36" s="8"/>
      <c r="W36" s="89"/>
      <c r="X36" s="89"/>
      <c r="Y36" s="89"/>
      <c r="Z36" s="91"/>
    </row>
    <row r="37" spans="1:26" ht="13.9" customHeight="1" x14ac:dyDescent="0.2">
      <c r="A37" s="7"/>
      <c r="B37" s="19"/>
      <c r="C37" s="10" t="s">
        <v>87</v>
      </c>
      <c r="D37" s="15" t="s">
        <v>16</v>
      </c>
      <c r="E37" s="73">
        <v>2.0000000000000001E-4</v>
      </c>
      <c r="F37" s="73"/>
      <c r="G37" s="120">
        <f>'DETAIL 2026'!D211</f>
        <v>2.5068771997847428E-4</v>
      </c>
      <c r="H37" s="179">
        <f>'DETAIL 2026'!E211</f>
        <v>0</v>
      </c>
      <c r="I37" s="179">
        <f>'DETAIL 2026'!F211</f>
        <v>0</v>
      </c>
      <c r="J37" s="179">
        <f>'DETAIL 2026'!G211</f>
        <v>1.4592240680248569E-5</v>
      </c>
      <c r="K37" s="179">
        <f>'DETAIL 2026'!H211</f>
        <v>1.9235043684921435E-5</v>
      </c>
      <c r="L37" s="179">
        <f>'DETAIL 2026'!I211</f>
        <v>0</v>
      </c>
      <c r="M37" s="179">
        <f>'DETAIL 2026'!J211</f>
        <v>1.0103922133904424E-3</v>
      </c>
      <c r="N37" s="73"/>
      <c r="O37" s="73"/>
      <c r="P37" s="73"/>
      <c r="Q37" s="73"/>
      <c r="R37" s="73"/>
      <c r="S37" s="8"/>
      <c r="W37" s="89"/>
      <c r="X37" s="89"/>
      <c r="Y37" s="89"/>
      <c r="Z37" s="91"/>
    </row>
    <row r="38" spans="1:26" ht="13.9" customHeight="1" x14ac:dyDescent="0.2">
      <c r="A38" s="7"/>
      <c r="B38" s="19"/>
      <c r="C38" s="10" t="s">
        <v>76</v>
      </c>
      <c r="D38" s="15" t="s">
        <v>16</v>
      </c>
      <c r="E38" s="73">
        <v>2.0000000000000001E-4</v>
      </c>
      <c r="F38" s="73"/>
      <c r="G38" s="179">
        <f>'DETAIL 2026'!D232</f>
        <v>2.6287133563332476E-4</v>
      </c>
      <c r="H38" s="179">
        <f>'DETAIL 2026'!E232</f>
        <v>3.5313767597232163E-4</v>
      </c>
      <c r="I38" s="179">
        <f>'DETAIL 2026'!F232</f>
        <v>4.1307552456602695E-4</v>
      </c>
      <c r="J38" s="179">
        <f>'DETAIL 2026'!G232</f>
        <v>2.0175109769780995E-4</v>
      </c>
      <c r="K38" s="179">
        <f>'DETAIL 2026'!H232</f>
        <v>2.7342883844436676E-4</v>
      </c>
      <c r="L38" s="179">
        <f>'DETAIL 2026'!I232</f>
        <v>1.7760484278243066E-4</v>
      </c>
      <c r="M38" s="179">
        <f>'DETAIL 2026'!J232</f>
        <v>5.6310112716799509E-4</v>
      </c>
      <c r="N38" s="120"/>
      <c r="O38" s="120"/>
      <c r="P38" s="120"/>
      <c r="Q38" s="120"/>
      <c r="R38" s="120"/>
      <c r="S38" s="8"/>
      <c r="W38" s="89"/>
      <c r="X38" s="89"/>
      <c r="Y38" s="90"/>
      <c r="Z38" s="91"/>
    </row>
    <row r="39" spans="1:26" ht="13.9" customHeight="1" x14ac:dyDescent="0.2">
      <c r="A39" s="7"/>
      <c r="B39" s="19"/>
      <c r="C39" s="77" t="s">
        <v>85</v>
      </c>
      <c r="D39" s="78" t="s">
        <v>17</v>
      </c>
      <c r="E39" s="87">
        <v>2.0000000000000001E-4</v>
      </c>
      <c r="F39" s="81"/>
      <c r="G39" s="182">
        <f>'DETAIL 2026'!D237</f>
        <v>2.6287133563332476E-4</v>
      </c>
      <c r="H39" s="182">
        <f>'DETAIL 2026'!E237</f>
        <v>3.1305359194507801E-4</v>
      </c>
      <c r="I39" s="182">
        <f>'DETAIL 2026'!F237</f>
        <v>3.4158298810527631E-4</v>
      </c>
      <c r="J39" s="182">
        <f>'DETAIL 2026'!G237</f>
        <v>3.01826266050806E-4</v>
      </c>
      <c r="K39" s="182">
        <f>'DETAIL 2026'!H237</f>
        <v>2.9585900303234037E-4</v>
      </c>
      <c r="L39" s="182">
        <f>'DETAIL 2026'!I237</f>
        <v>2.7526744439556309E-4</v>
      </c>
      <c r="M39" s="182">
        <f>'DETAIL 2026'!J237</f>
        <v>3.1473196142791754E-4</v>
      </c>
      <c r="N39" s="178"/>
      <c r="O39" s="178"/>
      <c r="P39" s="82"/>
      <c r="Q39" s="82"/>
      <c r="R39" s="82"/>
      <c r="S39" s="8"/>
      <c r="W39" s="89"/>
      <c r="X39" s="89"/>
      <c r="Y39" s="90"/>
      <c r="Z39" s="91"/>
    </row>
    <row r="40" spans="1:26" ht="13.9" customHeight="1" x14ac:dyDescent="0.2">
      <c r="A40" s="7"/>
      <c r="B40" s="26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8"/>
      <c r="W40" s="89"/>
      <c r="X40" s="89"/>
      <c r="Y40" s="90"/>
      <c r="Z40" s="91"/>
    </row>
    <row r="41" spans="1:26" ht="13.9" customHeight="1" x14ac:dyDescent="0.2">
      <c r="A41" s="7"/>
      <c r="B41" s="97"/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8"/>
      <c r="W41" s="89"/>
      <c r="X41" s="89"/>
      <c r="Y41" s="90"/>
      <c r="Z41" s="91"/>
    </row>
    <row r="42" spans="1:26" ht="13.9" customHeight="1" x14ac:dyDescent="0.2">
      <c r="A42" s="7"/>
      <c r="B42" s="97"/>
      <c r="C42" s="97"/>
      <c r="D42" s="98"/>
      <c r="E42" s="98"/>
      <c r="F42" s="98"/>
      <c r="G42" s="98"/>
      <c r="H42" s="98"/>
      <c r="I42" s="98"/>
      <c r="J42" s="98"/>
      <c r="K42" s="99"/>
      <c r="L42" s="99"/>
      <c r="M42" s="99"/>
      <c r="N42" s="99"/>
      <c r="O42" s="99" t="s">
        <v>676</v>
      </c>
      <c r="P42" s="98"/>
      <c r="Q42" s="98"/>
      <c r="R42" s="98"/>
      <c r="S42" s="8"/>
      <c r="W42" s="89"/>
      <c r="X42" s="89"/>
      <c r="Y42" s="90"/>
      <c r="Z42" s="91"/>
    </row>
    <row r="43" spans="1:26" ht="13.9" customHeight="1" x14ac:dyDescent="0.2">
      <c r="A43" s="7"/>
      <c r="B43" s="97"/>
      <c r="C43" s="97"/>
      <c r="D43" s="98"/>
      <c r="E43" s="98"/>
      <c r="F43" s="98"/>
      <c r="G43" s="98"/>
      <c r="H43" s="98"/>
      <c r="I43" s="98"/>
      <c r="J43" s="98"/>
      <c r="K43" s="99"/>
      <c r="L43" s="99"/>
      <c r="M43" s="99"/>
      <c r="N43" s="99"/>
      <c r="O43" s="200" t="s">
        <v>89</v>
      </c>
      <c r="P43" s="200"/>
      <c r="Q43" s="200" t="s">
        <v>88</v>
      </c>
      <c r="R43" s="200"/>
      <c r="S43" s="8"/>
      <c r="W43" s="89"/>
      <c r="X43" s="89"/>
      <c r="Y43" s="90"/>
      <c r="Z43" s="91"/>
    </row>
    <row r="44" spans="1:26" ht="13.9" customHeight="1" x14ac:dyDescent="0.2">
      <c r="A44" s="7"/>
      <c r="B44" s="97"/>
      <c r="C44" s="97"/>
      <c r="D44" s="98"/>
      <c r="E44" s="98"/>
      <c r="F44" s="98"/>
      <c r="G44" s="98"/>
      <c r="H44" s="98"/>
      <c r="I44" s="98"/>
      <c r="J44" s="98"/>
      <c r="K44" s="99"/>
      <c r="L44" s="99"/>
      <c r="M44" s="99"/>
      <c r="N44" s="99"/>
      <c r="O44" s="201"/>
      <c r="P44" s="202"/>
      <c r="Q44" s="201"/>
      <c r="R44" s="202"/>
      <c r="S44" s="8"/>
      <c r="W44" s="89"/>
      <c r="X44" s="89"/>
      <c r="Y44" s="90"/>
      <c r="Z44" s="91"/>
    </row>
    <row r="45" spans="1:26" ht="13.9" customHeight="1" x14ac:dyDescent="0.2">
      <c r="A45" s="7"/>
      <c r="B45" s="97"/>
      <c r="C45" s="97"/>
      <c r="D45" s="98"/>
      <c r="E45" s="98"/>
      <c r="F45" s="98"/>
      <c r="G45" s="98"/>
      <c r="H45" s="98"/>
      <c r="I45" s="98"/>
      <c r="J45" s="98"/>
      <c r="K45" s="99"/>
      <c r="L45" s="99"/>
      <c r="M45" s="99"/>
      <c r="N45" s="99"/>
      <c r="O45" s="203"/>
      <c r="P45" s="204"/>
      <c r="Q45" s="203"/>
      <c r="R45" s="204"/>
      <c r="S45" s="8"/>
      <c r="W45" s="89"/>
      <c r="X45" s="89"/>
      <c r="Y45" s="90"/>
      <c r="Z45" s="91"/>
    </row>
    <row r="46" spans="1:26" ht="13.9" customHeight="1" x14ac:dyDescent="0.2">
      <c r="A46" s="7"/>
      <c r="B46" s="97"/>
      <c r="C46" s="97"/>
      <c r="D46" s="98"/>
      <c r="E46" s="98"/>
      <c r="F46" s="98"/>
      <c r="G46" s="98"/>
      <c r="H46" s="98"/>
      <c r="I46" s="98"/>
      <c r="J46" s="98"/>
      <c r="K46" s="99"/>
      <c r="L46" s="99"/>
      <c r="M46" s="99"/>
      <c r="N46" s="99"/>
      <c r="O46" s="203"/>
      <c r="P46" s="204"/>
      <c r="Q46" s="203"/>
      <c r="R46" s="204"/>
      <c r="S46" s="8"/>
      <c r="W46" s="89"/>
      <c r="X46" s="89"/>
      <c r="Y46" s="90"/>
      <c r="Z46" s="91"/>
    </row>
    <row r="47" spans="1:26" ht="13.9" customHeight="1" x14ac:dyDescent="0.2">
      <c r="A47" s="7"/>
      <c r="B47" s="97"/>
      <c r="C47" s="97"/>
      <c r="D47" s="98"/>
      <c r="E47" s="98"/>
      <c r="F47" s="98"/>
      <c r="G47" s="98"/>
      <c r="H47" s="98"/>
      <c r="I47" s="98"/>
      <c r="J47" s="98"/>
      <c r="K47" s="99"/>
      <c r="L47" s="99"/>
      <c r="M47" s="99"/>
      <c r="N47" s="99"/>
      <c r="O47" s="205"/>
      <c r="P47" s="206"/>
      <c r="Q47" s="205"/>
      <c r="R47" s="206"/>
      <c r="S47" s="8"/>
      <c r="W47" s="89"/>
      <c r="X47" s="89"/>
      <c r="Y47" s="90"/>
      <c r="Z47" s="91"/>
    </row>
    <row r="48" spans="1:26" ht="13.9" customHeight="1" x14ac:dyDescent="0.2">
      <c r="A48" s="7"/>
      <c r="B48" s="97"/>
      <c r="C48" s="97"/>
      <c r="D48" s="98"/>
      <c r="E48" s="98"/>
      <c r="F48" s="98"/>
      <c r="G48" s="98"/>
      <c r="H48" s="98"/>
      <c r="I48" s="98"/>
      <c r="J48" s="98"/>
      <c r="K48" s="99"/>
      <c r="L48" s="99"/>
      <c r="M48" s="99"/>
      <c r="N48" s="99"/>
      <c r="O48" s="200" t="s">
        <v>664</v>
      </c>
      <c r="P48" s="200"/>
      <c r="Q48" s="200" t="s">
        <v>90</v>
      </c>
      <c r="R48" s="200"/>
      <c r="S48" s="8"/>
      <c r="W48" s="89"/>
      <c r="X48" s="89"/>
      <c r="Y48" s="90"/>
      <c r="Z48" s="91"/>
    </row>
    <row r="49" spans="1:23" ht="10.15" customHeight="1" thickBot="1" x14ac:dyDescent="0.25">
      <c r="A49" s="28"/>
      <c r="B49" s="29"/>
      <c r="C49" s="29"/>
      <c r="D49" s="29"/>
      <c r="E49" s="29"/>
      <c r="F49" s="30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1"/>
    </row>
    <row r="50" spans="1:23" ht="6" customHeight="1" thickTop="1" x14ac:dyDescent="0.2"/>
    <row r="51" spans="1:23" ht="18.75" x14ac:dyDescent="0.2">
      <c r="F51" s="6"/>
      <c r="G51" s="33"/>
      <c r="H51" s="33"/>
      <c r="I51" s="33"/>
      <c r="J51" s="33"/>
      <c r="K51" s="33"/>
      <c r="L51" s="33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</row>
    <row r="52" spans="1:23" s="34" customFormat="1" ht="16.149999999999999" customHeight="1" x14ac:dyDescent="0.2">
      <c r="D52" s="6"/>
      <c r="E52" s="6"/>
      <c r="F52" s="6"/>
      <c r="G52" s="6"/>
      <c r="H52" s="6"/>
      <c r="I52" s="6"/>
      <c r="J52" s="6"/>
      <c r="K52" s="6"/>
    </row>
    <row r="53" spans="1:23" s="34" customFormat="1" ht="27.75" customHeight="1" x14ac:dyDescent="0.2">
      <c r="D53" s="6"/>
      <c r="E53" s="6"/>
      <c r="F53" s="6"/>
      <c r="G53" s="6"/>
      <c r="H53" s="6"/>
      <c r="I53" s="6"/>
      <c r="J53" s="6"/>
      <c r="K53" s="6"/>
    </row>
    <row r="54" spans="1:23" s="34" customFormat="1" ht="27.75" customHeight="1" x14ac:dyDescent="0.2">
      <c r="D54" s="6"/>
      <c r="E54" s="6"/>
      <c r="F54" s="6"/>
      <c r="G54" s="6"/>
      <c r="H54" s="6"/>
      <c r="I54" s="6"/>
      <c r="J54" s="6"/>
      <c r="K54" s="6"/>
    </row>
    <row r="55" spans="1:23" s="34" customFormat="1" ht="16.149999999999999" customHeight="1" x14ac:dyDescent="0.2">
      <c r="D55" s="6"/>
      <c r="E55" s="6"/>
      <c r="F55" s="6"/>
      <c r="G55" s="6"/>
      <c r="H55" s="6"/>
      <c r="I55" s="6"/>
      <c r="J55" s="6"/>
      <c r="K55" s="6"/>
    </row>
    <row r="56" spans="1:23" ht="16.149999999999999" customHeight="1" x14ac:dyDescent="0.2">
      <c r="F56" s="6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</row>
    <row r="57" spans="1:23" ht="18.75" x14ac:dyDescent="0.2">
      <c r="C57" s="35"/>
      <c r="F57" s="6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</row>
    <row r="58" spans="1:23" ht="18.75" x14ac:dyDescent="0.2">
      <c r="F58" s="6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</row>
    <row r="59" spans="1:23" x14ac:dyDescent="0.2">
      <c r="F59" s="6"/>
    </row>
    <row r="60" spans="1:23" x14ac:dyDescent="0.2">
      <c r="F60" s="6"/>
    </row>
    <row r="64" spans="1:23" ht="15.6" customHeight="1" x14ac:dyDescent="0.2"/>
    <row r="65" ht="16.149999999999999" customHeight="1" x14ac:dyDescent="0.2"/>
    <row r="66" ht="27.75" customHeight="1" x14ac:dyDescent="0.2"/>
    <row r="67" ht="27.75" customHeight="1" x14ac:dyDescent="0.2"/>
    <row r="68" ht="16.149999999999999" customHeight="1" x14ac:dyDescent="0.2"/>
    <row r="69" ht="16.149999999999999" customHeight="1" x14ac:dyDescent="0.2"/>
  </sheetData>
  <mergeCells count="15">
    <mergeCell ref="O48:P48"/>
    <mergeCell ref="Q48:R48"/>
    <mergeCell ref="O43:P43"/>
    <mergeCell ref="Q43:R43"/>
    <mergeCell ref="O44:P47"/>
    <mergeCell ref="Q44:R47"/>
    <mergeCell ref="B2:R2"/>
    <mergeCell ref="B3:R3"/>
    <mergeCell ref="B4:R4"/>
    <mergeCell ref="B5:B6"/>
    <mergeCell ref="C5:C6"/>
    <mergeCell ref="D5:D6"/>
    <mergeCell ref="F5:F6"/>
    <mergeCell ref="G5:R5"/>
    <mergeCell ref="E5:E6"/>
  </mergeCells>
  <printOptions horizontalCentered="1" verticalCentered="1"/>
  <pageMargins left="0" right="0" top="0" bottom="0" header="0" footer="0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  <pageSetUpPr fitToPage="1"/>
  </sheetPr>
  <dimension ref="A1:AW267"/>
  <sheetViews>
    <sheetView tabSelected="1" zoomScale="145" zoomScaleNormal="145" workbookViewId="0">
      <pane ySplit="2" topLeftCell="A33" activePane="bottomLeft" state="frozen"/>
      <selection activeCell="S214" sqref="S214"/>
      <selection pane="bottomLeft" activeCell="J45" sqref="J45"/>
    </sheetView>
  </sheetViews>
  <sheetFormatPr defaultRowHeight="12.75" x14ac:dyDescent="0.2"/>
  <cols>
    <col min="2" max="2" width="11.7109375" bestFit="1" customWidth="1"/>
    <col min="3" max="3" width="10.28515625" bestFit="1" customWidth="1"/>
    <col min="4" max="4" width="9.42578125" bestFit="1" customWidth="1"/>
    <col min="5" max="5" width="9.140625" bestFit="1" customWidth="1"/>
    <col min="6" max="9" width="10.140625" bestFit="1" customWidth="1"/>
    <col min="10" max="15" width="10.140625" customWidth="1"/>
    <col min="16" max="16" width="9.140625" style="102" customWidth="1"/>
    <col min="17" max="17" width="8.85546875" style="102"/>
    <col min="18" max="18" width="11.7109375" bestFit="1" customWidth="1"/>
    <col min="19" max="19" width="11.85546875" bestFit="1" customWidth="1"/>
    <col min="20" max="23" width="9.140625" bestFit="1" customWidth="1"/>
    <col min="24" max="25" width="10.140625" bestFit="1" customWidth="1"/>
    <col min="26" max="31" width="10.140625" customWidth="1"/>
    <col min="34" max="34" width="4.85546875" customWidth="1"/>
  </cols>
  <sheetData>
    <row r="1" spans="1:49" ht="15.75" x14ac:dyDescent="0.25">
      <c r="A1" s="60" t="s">
        <v>52</v>
      </c>
      <c r="B1" s="39"/>
      <c r="C1" s="3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9"/>
      <c r="Q1" s="100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9" ht="15" customHeight="1" x14ac:dyDescent="0.3">
      <c r="A2" s="211" t="s">
        <v>37</v>
      </c>
      <c r="B2" s="211"/>
      <c r="C2" s="211"/>
      <c r="D2" s="41" t="s">
        <v>4</v>
      </c>
      <c r="E2" s="41" t="s">
        <v>5</v>
      </c>
      <c r="F2" s="41" t="s">
        <v>6</v>
      </c>
      <c r="G2" s="41" t="s">
        <v>7</v>
      </c>
      <c r="H2" s="41" t="s">
        <v>38</v>
      </c>
      <c r="I2" s="41" t="s">
        <v>9</v>
      </c>
      <c r="J2" s="41" t="s">
        <v>10</v>
      </c>
      <c r="K2" s="41" t="s">
        <v>39</v>
      </c>
      <c r="L2" s="41" t="s">
        <v>12</v>
      </c>
      <c r="M2" s="41" t="s">
        <v>40</v>
      </c>
      <c r="N2" s="41" t="s">
        <v>41</v>
      </c>
      <c r="O2" s="41" t="s">
        <v>42</v>
      </c>
      <c r="P2" s="49"/>
      <c r="Q2" s="100"/>
      <c r="R2" s="39"/>
      <c r="S2" s="39"/>
      <c r="T2" s="39"/>
      <c r="U2" s="39"/>
      <c r="V2" s="39"/>
      <c r="W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</row>
    <row r="3" spans="1:49" ht="13.15" customHeight="1" x14ac:dyDescent="0.25">
      <c r="A3" s="38"/>
      <c r="B3" s="39"/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9"/>
      <c r="Q3" s="100"/>
      <c r="R3" s="39"/>
      <c r="S3" s="39"/>
      <c r="T3" s="39"/>
      <c r="U3" s="39"/>
      <c r="V3" s="39"/>
      <c r="W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</row>
    <row r="4" spans="1:49" ht="12.2" customHeight="1" x14ac:dyDescent="0.25">
      <c r="A4" s="38" t="s">
        <v>44</v>
      </c>
      <c r="B4" s="42" t="s">
        <v>45</v>
      </c>
      <c r="C4" s="43"/>
      <c r="D4" s="44" t="s">
        <v>4</v>
      </c>
      <c r="E4" s="44" t="s">
        <v>5</v>
      </c>
      <c r="F4" s="44" t="s">
        <v>6</v>
      </c>
      <c r="G4" s="44" t="s">
        <v>7</v>
      </c>
      <c r="H4" s="44" t="s">
        <v>38</v>
      </c>
      <c r="I4" s="44" t="s">
        <v>9</v>
      </c>
      <c r="J4" s="44" t="s">
        <v>10</v>
      </c>
      <c r="K4" s="44" t="s">
        <v>39</v>
      </c>
      <c r="L4" s="44" t="s">
        <v>12</v>
      </c>
      <c r="M4" s="44" t="s">
        <v>40</v>
      </c>
      <c r="N4" s="44" t="s">
        <v>41</v>
      </c>
      <c r="O4" s="44" t="s">
        <v>42</v>
      </c>
      <c r="P4" s="49"/>
      <c r="Q4" s="100"/>
      <c r="R4" s="39"/>
      <c r="S4" s="39"/>
      <c r="T4" s="39"/>
      <c r="U4" s="39"/>
      <c r="V4" s="39"/>
      <c r="W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</row>
    <row r="5" spans="1:49" ht="12.2" customHeight="1" x14ac:dyDescent="0.25">
      <c r="A5" s="38"/>
      <c r="B5" s="46"/>
      <c r="C5" s="47" t="s">
        <v>53</v>
      </c>
      <c r="D5" s="48">
        <v>76082</v>
      </c>
      <c r="E5" s="48">
        <v>73862</v>
      </c>
      <c r="F5" s="48">
        <v>65188</v>
      </c>
      <c r="G5" s="48">
        <v>82770</v>
      </c>
      <c r="H5" s="48">
        <v>72550</v>
      </c>
      <c r="I5" s="48">
        <v>77113</v>
      </c>
      <c r="J5" s="48">
        <v>75668</v>
      </c>
      <c r="K5" s="48"/>
      <c r="L5" s="48"/>
      <c r="M5" s="48"/>
      <c r="N5" s="48"/>
      <c r="O5" s="48"/>
      <c r="P5" s="49"/>
      <c r="Q5" s="100"/>
      <c r="R5" s="39"/>
      <c r="S5" s="39"/>
      <c r="T5" s="39"/>
      <c r="U5" s="39"/>
      <c r="V5" s="39"/>
      <c r="W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</row>
    <row r="6" spans="1:49" ht="12.2" customHeight="1" x14ac:dyDescent="0.25">
      <c r="A6" s="38"/>
      <c r="B6" s="50"/>
      <c r="C6" s="47" t="s">
        <v>46</v>
      </c>
      <c r="D6" s="48">
        <v>558212</v>
      </c>
      <c r="E6" s="48">
        <v>552904</v>
      </c>
      <c r="F6" s="48">
        <v>493440</v>
      </c>
      <c r="G6" s="48">
        <v>632918</v>
      </c>
      <c r="H6" s="48">
        <v>550636</v>
      </c>
      <c r="I6" s="48">
        <v>587531</v>
      </c>
      <c r="J6" s="48">
        <v>576992</v>
      </c>
      <c r="K6" s="48"/>
      <c r="L6" s="48"/>
      <c r="M6" s="48"/>
      <c r="N6" s="48"/>
      <c r="O6" s="48"/>
      <c r="P6" s="49"/>
      <c r="Q6" s="100"/>
      <c r="R6" s="39"/>
      <c r="S6" s="39"/>
      <c r="T6" s="39"/>
      <c r="U6" s="39"/>
      <c r="V6" s="39"/>
      <c r="W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</row>
    <row r="7" spans="1:49" ht="12.2" customHeight="1" x14ac:dyDescent="0.25">
      <c r="A7" s="38"/>
      <c r="B7" s="51"/>
      <c r="C7" s="52" t="s">
        <v>44</v>
      </c>
      <c r="D7" s="53">
        <f>D6/D5*60</f>
        <v>440.21871139034204</v>
      </c>
      <c r="E7" s="53">
        <f>E6/E5*60</f>
        <v>449.13812244455875</v>
      </c>
      <c r="F7" s="53">
        <f t="shared" ref="F7:O7" si="0">F6/F5*60</f>
        <v>454.16947904522306</v>
      </c>
      <c r="G7" s="53">
        <f t="shared" si="0"/>
        <v>458.80246466110913</v>
      </c>
      <c r="H7" s="53">
        <f t="shared" si="0"/>
        <v>455.38470020675396</v>
      </c>
      <c r="I7" s="53">
        <f t="shared" si="0"/>
        <v>457.14548779064489</v>
      </c>
      <c r="J7" s="53">
        <f t="shared" si="0"/>
        <v>457.51863403288053</v>
      </c>
      <c r="K7" s="53" t="e">
        <f t="shared" si="0"/>
        <v>#DIV/0!</v>
      </c>
      <c r="L7" s="53" t="e">
        <f t="shared" si="0"/>
        <v>#DIV/0!</v>
      </c>
      <c r="M7" s="53" t="e">
        <f t="shared" si="0"/>
        <v>#DIV/0!</v>
      </c>
      <c r="N7" s="53" t="e">
        <f t="shared" si="0"/>
        <v>#DIV/0!</v>
      </c>
      <c r="O7" s="53" t="e">
        <f t="shared" si="0"/>
        <v>#DIV/0!</v>
      </c>
      <c r="P7" s="49"/>
      <c r="Q7" s="100"/>
      <c r="R7" s="39"/>
      <c r="S7" s="39"/>
      <c r="T7" s="39"/>
      <c r="U7" s="39"/>
      <c r="V7" s="39"/>
      <c r="W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</row>
    <row r="8" spans="1:49" ht="12.2" customHeight="1" x14ac:dyDescent="0.25">
      <c r="A8" s="38"/>
      <c r="B8" s="212" t="s">
        <v>77</v>
      </c>
      <c r="C8" s="47" t="s">
        <v>53</v>
      </c>
      <c r="D8" s="48">
        <f>D5</f>
        <v>76082</v>
      </c>
      <c r="E8" s="48">
        <f t="shared" ref="E8:K9" si="1">E5+D8</f>
        <v>149944</v>
      </c>
      <c r="F8" s="48">
        <f t="shared" si="1"/>
        <v>215132</v>
      </c>
      <c r="G8" s="48">
        <f t="shared" si="1"/>
        <v>297902</v>
      </c>
      <c r="H8" s="48">
        <f t="shared" si="1"/>
        <v>370452</v>
      </c>
      <c r="I8" s="48">
        <f t="shared" si="1"/>
        <v>447565</v>
      </c>
      <c r="J8" s="48">
        <f t="shared" si="1"/>
        <v>523233</v>
      </c>
      <c r="K8" s="48">
        <f t="shared" si="1"/>
        <v>523233</v>
      </c>
      <c r="L8" s="48">
        <f t="shared" ref="L8:O9" si="2">L5+K8</f>
        <v>523233</v>
      </c>
      <c r="M8" s="48">
        <f t="shared" si="2"/>
        <v>523233</v>
      </c>
      <c r="N8" s="48">
        <f t="shared" si="2"/>
        <v>523233</v>
      </c>
      <c r="O8" s="48">
        <f t="shared" si="2"/>
        <v>523233</v>
      </c>
      <c r="P8" s="49"/>
      <c r="Q8" s="100"/>
      <c r="R8" s="39"/>
      <c r="S8" s="39"/>
      <c r="T8" s="39"/>
      <c r="U8" s="39"/>
      <c r="V8" s="39"/>
      <c r="W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</row>
    <row r="9" spans="1:49" ht="12.2" customHeight="1" x14ac:dyDescent="0.25">
      <c r="A9" s="38"/>
      <c r="B9" s="212"/>
      <c r="C9" s="47" t="s">
        <v>46</v>
      </c>
      <c r="D9" s="48">
        <f>D6</f>
        <v>558212</v>
      </c>
      <c r="E9" s="48">
        <f t="shared" si="1"/>
        <v>1111116</v>
      </c>
      <c r="F9" s="48">
        <f t="shared" si="1"/>
        <v>1604556</v>
      </c>
      <c r="G9" s="48">
        <f t="shared" si="1"/>
        <v>2237474</v>
      </c>
      <c r="H9" s="48">
        <f t="shared" si="1"/>
        <v>2788110</v>
      </c>
      <c r="I9" s="48">
        <f t="shared" si="1"/>
        <v>3375641</v>
      </c>
      <c r="J9" s="48">
        <f t="shared" si="1"/>
        <v>3952633</v>
      </c>
      <c r="K9" s="48">
        <f t="shared" si="1"/>
        <v>3952633</v>
      </c>
      <c r="L9" s="48">
        <f t="shared" si="2"/>
        <v>3952633</v>
      </c>
      <c r="M9" s="48">
        <f t="shared" si="2"/>
        <v>3952633</v>
      </c>
      <c r="N9" s="48">
        <f t="shared" si="2"/>
        <v>3952633</v>
      </c>
      <c r="O9" s="48">
        <f t="shared" si="2"/>
        <v>3952633</v>
      </c>
      <c r="P9" s="49"/>
      <c r="Q9" s="100"/>
      <c r="R9" s="39"/>
      <c r="S9" s="39"/>
      <c r="T9" s="39"/>
      <c r="U9" s="39"/>
      <c r="V9" s="39"/>
      <c r="W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</row>
    <row r="10" spans="1:49" s="54" customFormat="1" ht="12.2" customHeight="1" x14ac:dyDescent="0.25">
      <c r="A10" s="74"/>
      <c r="B10" s="212"/>
      <c r="C10" s="75" t="s">
        <v>44</v>
      </c>
      <c r="D10" s="76">
        <f>D9/D8*60</f>
        <v>440.21871139034204</v>
      </c>
      <c r="E10" s="76">
        <f t="shared" ref="E10:O10" si="3">E9/E8*60</f>
        <v>444.61238862508668</v>
      </c>
      <c r="F10" s="76">
        <f t="shared" si="3"/>
        <v>447.50832047301191</v>
      </c>
      <c r="G10" s="76">
        <f>G9/G8*60</f>
        <v>450.64631993071549</v>
      </c>
      <c r="H10" s="76">
        <f>H9/H8*60</f>
        <v>451.57429302581716</v>
      </c>
      <c r="I10" s="76">
        <f>I9/I8*60</f>
        <v>452.53417939293735</v>
      </c>
      <c r="J10" s="76">
        <f>J9/J8*60</f>
        <v>453.25501258521535</v>
      </c>
      <c r="K10" s="76">
        <f>K9/K8*60</f>
        <v>453.25501258521535</v>
      </c>
      <c r="L10" s="76">
        <f t="shared" si="3"/>
        <v>453.25501258521535</v>
      </c>
      <c r="M10" s="76">
        <f t="shared" si="3"/>
        <v>453.25501258521535</v>
      </c>
      <c r="N10" s="76">
        <f t="shared" si="3"/>
        <v>453.25501258521535</v>
      </c>
      <c r="O10" s="76">
        <f t="shared" si="3"/>
        <v>453.25501258521535</v>
      </c>
      <c r="P10" s="101"/>
      <c r="Q10" s="100"/>
      <c r="R10" s="39"/>
      <c r="S10" s="39"/>
      <c r="T10" s="39"/>
      <c r="U10" s="39"/>
      <c r="V10" s="39"/>
      <c r="W10" s="39"/>
      <c r="X10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</row>
    <row r="11" spans="1:49" ht="12.2" customHeight="1" x14ac:dyDescent="0.25">
      <c r="A11" s="38"/>
      <c r="B11" s="54"/>
      <c r="C11" s="54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49"/>
      <c r="Q11" s="100"/>
      <c r="R11" s="39"/>
      <c r="S11" s="39"/>
      <c r="T11" s="39"/>
      <c r="U11" s="39"/>
      <c r="V11" s="39"/>
      <c r="W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</row>
    <row r="12" spans="1:49" ht="12.2" customHeight="1" x14ac:dyDescent="0.25">
      <c r="A12" s="38"/>
      <c r="B12" s="42" t="s">
        <v>47</v>
      </c>
      <c r="C12" s="43"/>
      <c r="D12" s="44" t="s">
        <v>4</v>
      </c>
      <c r="E12" s="44" t="s">
        <v>5</v>
      </c>
      <c r="F12" s="44" t="s">
        <v>6</v>
      </c>
      <c r="G12" s="44" t="s">
        <v>7</v>
      </c>
      <c r="H12" s="44" t="s">
        <v>38</v>
      </c>
      <c r="I12" s="44" t="s">
        <v>9</v>
      </c>
      <c r="J12" s="44" t="s">
        <v>10</v>
      </c>
      <c r="K12" s="44" t="s">
        <v>39</v>
      </c>
      <c r="L12" s="44" t="s">
        <v>12</v>
      </c>
      <c r="M12" s="44" t="s">
        <v>40</v>
      </c>
      <c r="N12" s="44" t="s">
        <v>41</v>
      </c>
      <c r="O12" s="44" t="s">
        <v>42</v>
      </c>
      <c r="P12" s="49"/>
      <c r="Q12" s="100"/>
      <c r="R12" s="39"/>
      <c r="S12" s="39"/>
      <c r="T12" s="39"/>
      <c r="U12" s="39"/>
      <c r="V12" s="39"/>
      <c r="W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</row>
    <row r="13" spans="1:49" ht="12.2" customHeight="1" x14ac:dyDescent="0.25">
      <c r="A13" s="38"/>
      <c r="B13" s="46"/>
      <c r="C13" s="47" t="s">
        <v>53</v>
      </c>
      <c r="D13" s="48">
        <v>104701</v>
      </c>
      <c r="E13" s="48">
        <v>107558</v>
      </c>
      <c r="F13" s="48">
        <v>81995</v>
      </c>
      <c r="G13" s="48">
        <v>109049</v>
      </c>
      <c r="H13" s="48">
        <v>85355</v>
      </c>
      <c r="I13" s="48">
        <v>94421</v>
      </c>
      <c r="J13" s="48">
        <v>100632</v>
      </c>
      <c r="K13" s="48"/>
      <c r="L13" s="48"/>
      <c r="M13" s="48"/>
      <c r="N13" s="48"/>
      <c r="O13" s="48"/>
      <c r="P13" s="49"/>
      <c r="Q13" s="100"/>
      <c r="R13" s="100"/>
      <c r="S13" s="39"/>
      <c r="T13" s="39"/>
      <c r="U13" s="39"/>
      <c r="V13" s="39"/>
      <c r="W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</row>
    <row r="14" spans="1:49" ht="12.2" customHeight="1" x14ac:dyDescent="0.25">
      <c r="A14" s="38"/>
      <c r="B14" s="50"/>
      <c r="C14" s="47" t="s">
        <v>46</v>
      </c>
      <c r="D14" s="48">
        <v>826538</v>
      </c>
      <c r="E14" s="48">
        <v>815966</v>
      </c>
      <c r="F14" s="48">
        <v>606486</v>
      </c>
      <c r="G14" s="48">
        <v>753050</v>
      </c>
      <c r="H14" s="48">
        <v>631602</v>
      </c>
      <c r="I14" s="48">
        <v>693055</v>
      </c>
      <c r="J14" s="48">
        <v>740435</v>
      </c>
      <c r="K14" s="48"/>
      <c r="L14" s="48"/>
      <c r="M14" s="48"/>
      <c r="N14" s="48"/>
      <c r="O14" s="48"/>
      <c r="P14" s="49"/>
      <c r="Q14" s="100"/>
      <c r="S14" s="39"/>
      <c r="T14" s="39"/>
      <c r="U14" s="39"/>
      <c r="V14" s="39"/>
      <c r="W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</row>
    <row r="15" spans="1:49" ht="12.2" customHeight="1" x14ac:dyDescent="0.25">
      <c r="A15" s="38"/>
      <c r="B15" s="51"/>
      <c r="C15" s="52" t="s">
        <v>44</v>
      </c>
      <c r="D15" s="53">
        <f>D14/D13*60</f>
        <v>473.65622104850956</v>
      </c>
      <c r="E15" s="53">
        <f t="shared" ref="E15:O15" si="4">E14/E13*60</f>
        <v>455.17729968946986</v>
      </c>
      <c r="F15" s="53">
        <f t="shared" si="4"/>
        <v>443.79730471370203</v>
      </c>
      <c r="G15" s="53">
        <f t="shared" si="4"/>
        <v>414.33667433905862</v>
      </c>
      <c r="H15" s="53">
        <f>H14/H13*60</f>
        <v>443.98242633706286</v>
      </c>
      <c r="I15" s="53">
        <f t="shared" si="4"/>
        <v>440.40308829603583</v>
      </c>
      <c r="J15" s="53">
        <f t="shared" si="4"/>
        <v>441.4709038874314</v>
      </c>
      <c r="K15" s="53" t="e">
        <f t="shared" si="4"/>
        <v>#DIV/0!</v>
      </c>
      <c r="L15" s="53" t="e">
        <f t="shared" si="4"/>
        <v>#DIV/0!</v>
      </c>
      <c r="M15" s="53" t="e">
        <f t="shared" si="4"/>
        <v>#DIV/0!</v>
      </c>
      <c r="N15" s="53" t="e">
        <f t="shared" si="4"/>
        <v>#DIV/0!</v>
      </c>
      <c r="O15" s="53" t="e">
        <f t="shared" si="4"/>
        <v>#DIV/0!</v>
      </c>
      <c r="P15" s="49"/>
      <c r="Q15" s="100"/>
      <c r="R15" s="39"/>
      <c r="S15" s="39"/>
      <c r="T15" s="39"/>
      <c r="U15" s="39"/>
      <c r="V15" s="39"/>
      <c r="W15" s="39"/>
      <c r="X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</row>
    <row r="16" spans="1:49" ht="12.2" customHeight="1" x14ac:dyDescent="0.25">
      <c r="A16" s="38"/>
      <c r="B16" s="212" t="s">
        <v>77</v>
      </c>
      <c r="C16" s="47" t="s">
        <v>53</v>
      </c>
      <c r="D16" s="48">
        <f>D13</f>
        <v>104701</v>
      </c>
      <c r="E16" s="48">
        <f t="shared" ref="E16:K17" si="5">E13+D16</f>
        <v>212259</v>
      </c>
      <c r="F16" s="48">
        <f t="shared" si="5"/>
        <v>294254</v>
      </c>
      <c r="G16" s="48">
        <f t="shared" si="5"/>
        <v>403303</v>
      </c>
      <c r="H16" s="48">
        <f t="shared" si="5"/>
        <v>488658</v>
      </c>
      <c r="I16" s="48">
        <f t="shared" si="5"/>
        <v>583079</v>
      </c>
      <c r="J16" s="48">
        <f t="shared" si="5"/>
        <v>683711</v>
      </c>
      <c r="K16" s="48">
        <f t="shared" si="5"/>
        <v>683711</v>
      </c>
      <c r="L16" s="48">
        <f t="shared" ref="L16:O17" si="6">L13+K16</f>
        <v>683711</v>
      </c>
      <c r="M16" s="48">
        <f t="shared" si="6"/>
        <v>683711</v>
      </c>
      <c r="N16" s="48">
        <f t="shared" si="6"/>
        <v>683711</v>
      </c>
      <c r="O16" s="48">
        <f t="shared" si="6"/>
        <v>683711</v>
      </c>
      <c r="P16" s="49"/>
      <c r="Q16" s="10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</row>
    <row r="17" spans="1:48" ht="12.2" customHeight="1" x14ac:dyDescent="0.25">
      <c r="A17" s="38"/>
      <c r="B17" s="212"/>
      <c r="C17" s="47" t="s">
        <v>46</v>
      </c>
      <c r="D17" s="48">
        <f>D14</f>
        <v>826538</v>
      </c>
      <c r="E17" s="48">
        <f t="shared" si="5"/>
        <v>1642504</v>
      </c>
      <c r="F17" s="48">
        <f t="shared" si="5"/>
        <v>2248990</v>
      </c>
      <c r="G17" s="48">
        <f t="shared" si="5"/>
        <v>3002040</v>
      </c>
      <c r="H17" s="48">
        <f t="shared" si="5"/>
        <v>3633642</v>
      </c>
      <c r="I17" s="48">
        <f t="shared" si="5"/>
        <v>4326697</v>
      </c>
      <c r="J17" s="48">
        <f t="shared" si="5"/>
        <v>5067132</v>
      </c>
      <c r="K17" s="48">
        <f t="shared" si="5"/>
        <v>5067132</v>
      </c>
      <c r="L17" s="48">
        <f t="shared" si="6"/>
        <v>5067132</v>
      </c>
      <c r="M17" s="48">
        <f t="shared" si="6"/>
        <v>5067132</v>
      </c>
      <c r="N17" s="48">
        <f t="shared" si="6"/>
        <v>5067132</v>
      </c>
      <c r="O17" s="48">
        <f t="shared" si="6"/>
        <v>5067132</v>
      </c>
      <c r="P17" s="49"/>
      <c r="Q17" s="100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</row>
    <row r="18" spans="1:48" ht="12.2" customHeight="1" x14ac:dyDescent="0.25">
      <c r="A18" s="38"/>
      <c r="B18" s="212"/>
      <c r="C18" s="75" t="s">
        <v>44</v>
      </c>
      <c r="D18" s="76">
        <f>D17/D16*60</f>
        <v>473.65622104850956</v>
      </c>
      <c r="E18" s="76">
        <f>E17/E16*60</f>
        <v>464.29239749551255</v>
      </c>
      <c r="F18" s="76">
        <f t="shared" ref="F18:K18" si="7">F17/F16*60</f>
        <v>458.5813616807248</v>
      </c>
      <c r="G18" s="76">
        <f t="shared" si="7"/>
        <v>446.61805144023231</v>
      </c>
      <c r="H18" s="76">
        <f t="shared" si="7"/>
        <v>446.15768083199293</v>
      </c>
      <c r="I18" s="76">
        <f t="shared" si="7"/>
        <v>445.22580988167982</v>
      </c>
      <c r="J18" s="76">
        <f>J17/J16*60</f>
        <v>444.67314406233044</v>
      </c>
      <c r="K18" s="76">
        <f t="shared" si="7"/>
        <v>444.67314406233044</v>
      </c>
      <c r="L18" s="76">
        <f>L17/L16*60</f>
        <v>444.67314406233044</v>
      </c>
      <c r="M18" s="76">
        <f>M17/M16*60</f>
        <v>444.67314406233044</v>
      </c>
      <c r="N18" s="76">
        <f>N17/N16*60</f>
        <v>444.67314406233044</v>
      </c>
      <c r="O18" s="76">
        <f>O17/O16*60</f>
        <v>444.67314406233044</v>
      </c>
      <c r="P18" s="49"/>
      <c r="Q18" s="100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</row>
    <row r="19" spans="1:48" ht="12.2" customHeight="1" x14ac:dyDescent="0.25">
      <c r="A19" s="38"/>
      <c r="B19" s="54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49"/>
      <c r="Q19" s="100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</row>
    <row r="20" spans="1:48" ht="12.2" customHeight="1" x14ac:dyDescent="0.25">
      <c r="A20" s="38"/>
      <c r="B20" s="42" t="s">
        <v>48</v>
      </c>
      <c r="C20" s="43"/>
      <c r="D20" s="44" t="s">
        <v>4</v>
      </c>
      <c r="E20" s="44" t="s">
        <v>5</v>
      </c>
      <c r="F20" s="44" t="s">
        <v>6</v>
      </c>
      <c r="G20" s="44" t="s">
        <v>7</v>
      </c>
      <c r="H20" s="44" t="s">
        <v>38</v>
      </c>
      <c r="I20" s="44" t="s">
        <v>9</v>
      </c>
      <c r="J20" s="44" t="s">
        <v>10</v>
      </c>
      <c r="K20" s="44" t="s">
        <v>39</v>
      </c>
      <c r="L20" s="44" t="s">
        <v>12</v>
      </c>
      <c r="M20" s="44" t="s">
        <v>40</v>
      </c>
      <c r="N20" s="44" t="s">
        <v>41</v>
      </c>
      <c r="O20" s="44" t="s">
        <v>42</v>
      </c>
      <c r="P20" s="49"/>
      <c r="Q20" s="10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</row>
    <row r="21" spans="1:48" ht="12.2" customHeight="1" x14ac:dyDescent="0.25">
      <c r="A21" s="38"/>
      <c r="B21" s="46"/>
      <c r="C21" s="47" t="s">
        <v>53</v>
      </c>
      <c r="D21" s="48">
        <v>52708</v>
      </c>
      <c r="E21" s="48">
        <v>51468</v>
      </c>
      <c r="F21" s="48">
        <v>44641</v>
      </c>
      <c r="G21" s="48">
        <v>59595.999999999993</v>
      </c>
      <c r="H21" s="48">
        <v>50923.32</v>
      </c>
      <c r="I21" s="48">
        <v>59588</v>
      </c>
      <c r="J21" s="48">
        <v>42560</v>
      </c>
      <c r="K21" s="48"/>
      <c r="L21" s="48"/>
      <c r="M21" s="48"/>
      <c r="N21" s="48"/>
      <c r="O21" s="48"/>
      <c r="P21" s="49"/>
      <c r="Q21" s="100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</row>
    <row r="22" spans="1:48" ht="12.2" customHeight="1" x14ac:dyDescent="0.25">
      <c r="A22" s="38"/>
      <c r="B22" s="50"/>
      <c r="C22" s="47" t="s">
        <v>46</v>
      </c>
      <c r="D22" s="48">
        <v>171603</v>
      </c>
      <c r="E22" s="48">
        <v>184165</v>
      </c>
      <c r="F22" s="48">
        <v>152677</v>
      </c>
      <c r="G22" s="48">
        <v>212564</v>
      </c>
      <c r="H22" s="48">
        <v>179296</v>
      </c>
      <c r="I22" s="48">
        <v>199972</v>
      </c>
      <c r="J22" s="48">
        <v>149068</v>
      </c>
      <c r="K22" s="48"/>
      <c r="L22" s="48"/>
      <c r="M22" s="48"/>
      <c r="N22" s="48"/>
      <c r="O22" s="48"/>
      <c r="P22" s="49"/>
      <c r="Q22" s="100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</row>
    <row r="23" spans="1:48" ht="12.2" customHeight="1" x14ac:dyDescent="0.25">
      <c r="A23" s="38"/>
      <c r="B23" s="51"/>
      <c r="C23" s="52" t="s">
        <v>44</v>
      </c>
      <c r="D23" s="53">
        <f>D22/D21*60</f>
        <v>195.34378083023449</v>
      </c>
      <c r="E23" s="53">
        <f t="shared" ref="E23:O23" si="8">E22/E21*60</f>
        <v>214.69456749825133</v>
      </c>
      <c r="F23" s="53">
        <f t="shared" si="8"/>
        <v>205.20642458726283</v>
      </c>
      <c r="G23" s="53">
        <f t="shared" si="8"/>
        <v>214.00496677629371</v>
      </c>
      <c r="H23" s="53">
        <f t="shared" si="8"/>
        <v>211.25409733693718</v>
      </c>
      <c r="I23" s="53">
        <f t="shared" si="8"/>
        <v>201.35463516144191</v>
      </c>
      <c r="J23" s="53">
        <f t="shared" si="8"/>
        <v>210.15225563909775</v>
      </c>
      <c r="K23" s="53" t="e">
        <f t="shared" si="8"/>
        <v>#DIV/0!</v>
      </c>
      <c r="L23" s="53" t="e">
        <f t="shared" si="8"/>
        <v>#DIV/0!</v>
      </c>
      <c r="M23" s="53" t="e">
        <f t="shared" si="8"/>
        <v>#DIV/0!</v>
      </c>
      <c r="N23" s="53" t="e">
        <f t="shared" si="8"/>
        <v>#DIV/0!</v>
      </c>
      <c r="O23" s="53" t="e">
        <f t="shared" si="8"/>
        <v>#DIV/0!</v>
      </c>
      <c r="P23" s="49"/>
      <c r="Q23" s="100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</row>
    <row r="24" spans="1:48" ht="12.2" customHeight="1" x14ac:dyDescent="0.25">
      <c r="A24" s="38"/>
      <c r="B24" s="212" t="s">
        <v>77</v>
      </c>
      <c r="C24" s="47" t="s">
        <v>53</v>
      </c>
      <c r="D24" s="48">
        <f>D21</f>
        <v>52708</v>
      </c>
      <c r="E24" s="48">
        <f t="shared" ref="E24:K25" si="9">E21+D24</f>
        <v>104176</v>
      </c>
      <c r="F24" s="48">
        <f t="shared" si="9"/>
        <v>148817</v>
      </c>
      <c r="G24" s="48">
        <f t="shared" si="9"/>
        <v>208413</v>
      </c>
      <c r="H24" s="48">
        <f t="shared" si="9"/>
        <v>259336.32000000001</v>
      </c>
      <c r="I24" s="48">
        <f t="shared" si="9"/>
        <v>318924.32</v>
      </c>
      <c r="J24" s="48">
        <f>J21+I24</f>
        <v>361484.32</v>
      </c>
      <c r="K24" s="48">
        <f t="shared" si="9"/>
        <v>361484.32</v>
      </c>
      <c r="L24" s="48">
        <f t="shared" ref="L24:O25" si="10">L21+K24</f>
        <v>361484.32</v>
      </c>
      <c r="M24" s="48">
        <f t="shared" si="10"/>
        <v>361484.32</v>
      </c>
      <c r="N24" s="48">
        <f t="shared" si="10"/>
        <v>361484.32</v>
      </c>
      <c r="O24" s="48">
        <f t="shared" si="10"/>
        <v>361484.32</v>
      </c>
      <c r="P24" s="49"/>
      <c r="Q24" s="10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</row>
    <row r="25" spans="1:48" ht="12.2" customHeight="1" x14ac:dyDescent="0.25">
      <c r="A25" s="38"/>
      <c r="B25" s="212"/>
      <c r="C25" s="47" t="s">
        <v>46</v>
      </c>
      <c r="D25" s="48">
        <f>D22</f>
        <v>171603</v>
      </c>
      <c r="E25" s="48">
        <f t="shared" si="9"/>
        <v>355768</v>
      </c>
      <c r="F25" s="48">
        <f t="shared" si="9"/>
        <v>508445</v>
      </c>
      <c r="G25" s="48">
        <f t="shared" si="9"/>
        <v>721009</v>
      </c>
      <c r="H25" s="48">
        <f t="shared" si="9"/>
        <v>900305</v>
      </c>
      <c r="I25" s="48">
        <f t="shared" si="9"/>
        <v>1100277</v>
      </c>
      <c r="J25" s="48">
        <f t="shared" si="9"/>
        <v>1249345</v>
      </c>
      <c r="K25" s="48">
        <f t="shared" si="9"/>
        <v>1249345</v>
      </c>
      <c r="L25" s="48">
        <f t="shared" si="10"/>
        <v>1249345</v>
      </c>
      <c r="M25" s="48">
        <f t="shared" si="10"/>
        <v>1249345</v>
      </c>
      <c r="N25" s="48">
        <f t="shared" si="10"/>
        <v>1249345</v>
      </c>
      <c r="O25" s="48">
        <f t="shared" si="10"/>
        <v>1249345</v>
      </c>
      <c r="P25" s="49"/>
      <c r="Q25" s="100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</row>
    <row r="26" spans="1:48" ht="12.2" customHeight="1" x14ac:dyDescent="0.25">
      <c r="A26" s="38"/>
      <c r="B26" s="212"/>
      <c r="C26" s="75" t="s">
        <v>44</v>
      </c>
      <c r="D26" s="76">
        <f t="shared" ref="D26:O26" si="11">D25/D24*60</f>
        <v>195.34378083023449</v>
      </c>
      <c r="E26" s="76">
        <f t="shared" si="11"/>
        <v>204.90400860082934</v>
      </c>
      <c r="F26" s="76">
        <f t="shared" si="11"/>
        <v>204.99472506501272</v>
      </c>
      <c r="G26" s="76">
        <f t="shared" si="11"/>
        <v>207.5712167667084</v>
      </c>
      <c r="H26" s="76">
        <f t="shared" si="11"/>
        <v>208.29438776643394</v>
      </c>
      <c r="I26" s="76">
        <f t="shared" si="11"/>
        <v>206.99776047182604</v>
      </c>
      <c r="J26" s="76">
        <f t="shared" si="11"/>
        <v>207.36916057659155</v>
      </c>
      <c r="K26" s="76">
        <f t="shared" si="11"/>
        <v>207.36916057659155</v>
      </c>
      <c r="L26" s="76">
        <f t="shared" si="11"/>
        <v>207.36916057659155</v>
      </c>
      <c r="M26" s="76">
        <f t="shared" si="11"/>
        <v>207.36916057659155</v>
      </c>
      <c r="N26" s="76">
        <f t="shared" si="11"/>
        <v>207.36916057659155</v>
      </c>
      <c r="O26" s="76">
        <f t="shared" si="11"/>
        <v>207.36916057659155</v>
      </c>
      <c r="P26" s="49"/>
      <c r="Q26" s="10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</row>
    <row r="27" spans="1:48" ht="12.2" customHeight="1" x14ac:dyDescent="0.25">
      <c r="A27" s="38"/>
      <c r="B27" s="54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49"/>
      <c r="Q27" s="100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</row>
    <row r="28" spans="1:48" ht="12.2" customHeight="1" x14ac:dyDescent="0.25">
      <c r="A28" s="38"/>
      <c r="B28" s="42" t="s">
        <v>49</v>
      </c>
      <c r="C28" s="43"/>
      <c r="D28" s="44" t="s">
        <v>4</v>
      </c>
      <c r="E28" s="44" t="s">
        <v>5</v>
      </c>
      <c r="F28" s="44" t="s">
        <v>6</v>
      </c>
      <c r="G28" s="44" t="s">
        <v>7</v>
      </c>
      <c r="H28" s="44" t="s">
        <v>38</v>
      </c>
      <c r="I28" s="44" t="s">
        <v>9</v>
      </c>
      <c r="J28" s="44" t="s">
        <v>10</v>
      </c>
      <c r="K28" s="44" t="s">
        <v>39</v>
      </c>
      <c r="L28" s="44" t="s">
        <v>12</v>
      </c>
      <c r="M28" s="44" t="s">
        <v>40</v>
      </c>
      <c r="N28" s="44" t="s">
        <v>41</v>
      </c>
      <c r="O28" s="44" t="s">
        <v>42</v>
      </c>
      <c r="P28" s="49"/>
      <c r="R28" s="42" t="s">
        <v>43</v>
      </c>
      <c r="S28" s="43"/>
      <c r="T28" s="44" t="s">
        <v>4</v>
      </c>
      <c r="U28" s="44" t="s">
        <v>5</v>
      </c>
      <c r="V28" s="44" t="s">
        <v>6</v>
      </c>
      <c r="W28" s="44" t="s">
        <v>7</v>
      </c>
      <c r="X28" s="44" t="s">
        <v>38</v>
      </c>
      <c r="Y28" s="44" t="s">
        <v>9</v>
      </c>
      <c r="Z28" s="44" t="s">
        <v>10</v>
      </c>
      <c r="AA28" s="44" t="s">
        <v>39</v>
      </c>
      <c r="AB28" s="44" t="s">
        <v>12</v>
      </c>
      <c r="AC28" s="44" t="s">
        <v>40</v>
      </c>
      <c r="AD28" s="44" t="s">
        <v>41</v>
      </c>
      <c r="AE28" s="44" t="s">
        <v>42</v>
      </c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</row>
    <row r="29" spans="1:48" ht="12.2" customHeight="1" x14ac:dyDescent="0.25">
      <c r="A29" s="38"/>
      <c r="B29" s="46"/>
      <c r="C29" s="47" t="s">
        <v>53</v>
      </c>
      <c r="D29" s="48">
        <v>70834.866666666669</v>
      </c>
      <c r="E29" s="48">
        <v>87950</v>
      </c>
      <c r="F29" s="48">
        <v>47767</v>
      </c>
      <c r="G29" s="48">
        <v>101985</v>
      </c>
      <c r="H29" s="48">
        <v>83289</v>
      </c>
      <c r="I29" s="48">
        <v>75295</v>
      </c>
      <c r="J29" s="48">
        <v>84936</v>
      </c>
      <c r="K29" s="48"/>
      <c r="L29" s="48"/>
      <c r="M29" s="48"/>
      <c r="N29" s="48"/>
      <c r="O29" s="48"/>
      <c r="P29" s="49"/>
      <c r="R29" s="46"/>
      <c r="S29" s="47" t="s">
        <v>53</v>
      </c>
      <c r="T29" s="48">
        <f>D5+D13+D21+D29</f>
        <v>304325.8666666667</v>
      </c>
      <c r="U29" s="48">
        <f t="shared" ref="U29:AE30" si="12">E5+E13+E21+E29</f>
        <v>320838</v>
      </c>
      <c r="V29" s="48">
        <f t="shared" si="12"/>
        <v>239591</v>
      </c>
      <c r="W29" s="48">
        <f t="shared" si="12"/>
        <v>353400</v>
      </c>
      <c r="X29" s="48">
        <f t="shared" si="12"/>
        <v>292117.32</v>
      </c>
      <c r="Y29" s="48">
        <f t="shared" si="12"/>
        <v>306417</v>
      </c>
      <c r="Z29" s="48">
        <f t="shared" si="12"/>
        <v>303796</v>
      </c>
      <c r="AA29" s="48">
        <f t="shared" si="12"/>
        <v>0</v>
      </c>
      <c r="AB29" s="48">
        <f t="shared" si="12"/>
        <v>0</v>
      </c>
      <c r="AC29" s="48">
        <f t="shared" si="12"/>
        <v>0</v>
      </c>
      <c r="AD29" s="48">
        <f t="shared" si="12"/>
        <v>0</v>
      </c>
      <c r="AE29" s="48">
        <f t="shared" si="12"/>
        <v>0</v>
      </c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</row>
    <row r="30" spans="1:48" ht="12.2" customHeight="1" x14ac:dyDescent="0.25">
      <c r="A30" s="38"/>
      <c r="B30" s="50"/>
      <c r="C30" s="47" t="s">
        <v>46</v>
      </c>
      <c r="D30" s="48">
        <v>509456</v>
      </c>
      <c r="E30" s="48">
        <v>652400</v>
      </c>
      <c r="F30" s="48">
        <v>356886</v>
      </c>
      <c r="G30" s="48">
        <v>730316</v>
      </c>
      <c r="H30" s="48">
        <v>611266</v>
      </c>
      <c r="I30" s="48">
        <v>536594</v>
      </c>
      <c r="J30" s="48">
        <v>623084</v>
      </c>
      <c r="K30" s="48"/>
      <c r="L30" s="48"/>
      <c r="M30" s="48"/>
      <c r="N30" s="48"/>
      <c r="O30" s="48"/>
      <c r="P30" s="49"/>
      <c r="R30" s="50"/>
      <c r="S30" s="47" t="s">
        <v>46</v>
      </c>
      <c r="T30" s="48">
        <f>D6+D14+D22+D30</f>
        <v>2065809</v>
      </c>
      <c r="U30" s="48">
        <f t="shared" si="12"/>
        <v>2205435</v>
      </c>
      <c r="V30" s="48">
        <f t="shared" si="12"/>
        <v>1609489</v>
      </c>
      <c r="W30" s="48">
        <f t="shared" si="12"/>
        <v>2328848</v>
      </c>
      <c r="X30" s="48">
        <f t="shared" si="12"/>
        <v>1972800</v>
      </c>
      <c r="Y30" s="48">
        <f t="shared" si="12"/>
        <v>2017152</v>
      </c>
      <c r="Z30" s="48">
        <f t="shared" si="12"/>
        <v>2089579</v>
      </c>
      <c r="AA30" s="48">
        <f t="shared" si="12"/>
        <v>0</v>
      </c>
      <c r="AB30" s="48">
        <f t="shared" si="12"/>
        <v>0</v>
      </c>
      <c r="AC30" s="48">
        <f t="shared" si="12"/>
        <v>0</v>
      </c>
      <c r="AD30" s="48">
        <f t="shared" si="12"/>
        <v>0</v>
      </c>
      <c r="AE30" s="48">
        <f t="shared" si="12"/>
        <v>0</v>
      </c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</row>
    <row r="31" spans="1:48" ht="12.2" customHeight="1" x14ac:dyDescent="0.25">
      <c r="A31" s="38"/>
      <c r="B31" s="51"/>
      <c r="C31" s="52" t="s">
        <v>44</v>
      </c>
      <c r="D31" s="53">
        <f>D30/D29*60</f>
        <v>431.52985864776571</v>
      </c>
      <c r="E31" s="53">
        <f t="shared" ref="E31:O31" si="13">E30/E29*60</f>
        <v>445.0710631040364</v>
      </c>
      <c r="F31" s="53">
        <f t="shared" si="13"/>
        <v>448.28354303180021</v>
      </c>
      <c r="G31" s="53">
        <f t="shared" si="13"/>
        <v>429.66083247536403</v>
      </c>
      <c r="H31" s="53">
        <f t="shared" si="13"/>
        <v>440.34578395706518</v>
      </c>
      <c r="I31" s="53">
        <f t="shared" si="13"/>
        <v>427.59333289063022</v>
      </c>
      <c r="J31" s="53">
        <f t="shared" si="13"/>
        <v>440.15541113308842</v>
      </c>
      <c r="K31" s="53" t="e">
        <f t="shared" si="13"/>
        <v>#DIV/0!</v>
      </c>
      <c r="L31" s="53" t="e">
        <f t="shared" si="13"/>
        <v>#DIV/0!</v>
      </c>
      <c r="M31" s="53" t="e">
        <f t="shared" si="13"/>
        <v>#DIV/0!</v>
      </c>
      <c r="N31" s="53" t="e">
        <f t="shared" si="13"/>
        <v>#DIV/0!</v>
      </c>
      <c r="O31" s="53" t="e">
        <f t="shared" si="13"/>
        <v>#DIV/0!</v>
      </c>
      <c r="P31" s="49"/>
      <c r="R31" s="51"/>
      <c r="S31" s="52" t="s">
        <v>44</v>
      </c>
      <c r="T31" s="53">
        <f>T30/T29*60</f>
        <v>407.28887543352647</v>
      </c>
      <c r="U31" s="53">
        <f>U30/U29*60</f>
        <v>412.43898790043573</v>
      </c>
      <c r="V31" s="53">
        <f t="shared" ref="V31:AE31" si="14">V30/V29*60</f>
        <v>403.05912993392906</v>
      </c>
      <c r="W31" s="53">
        <f t="shared" si="14"/>
        <v>395.39015280135823</v>
      </c>
      <c r="X31" s="53">
        <f t="shared" si="14"/>
        <v>405.20705858865193</v>
      </c>
      <c r="Y31" s="53">
        <f t="shared" si="14"/>
        <v>394.98174056922426</v>
      </c>
      <c r="Z31" s="53">
        <f>Z30/Z29*60</f>
        <v>412.69384718692811</v>
      </c>
      <c r="AA31" s="53" t="e">
        <f>AA30/AA29*60</f>
        <v>#DIV/0!</v>
      </c>
      <c r="AB31" s="53" t="e">
        <f>AB30/AB29*60</f>
        <v>#DIV/0!</v>
      </c>
      <c r="AC31" s="53" t="e">
        <f>AC30/AC29*60</f>
        <v>#DIV/0!</v>
      </c>
      <c r="AD31" s="53" t="e">
        <f t="shared" si="14"/>
        <v>#DIV/0!</v>
      </c>
      <c r="AE31" s="53" t="e">
        <f t="shared" si="14"/>
        <v>#DIV/0!</v>
      </c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</row>
    <row r="32" spans="1:48" ht="12.2" customHeight="1" x14ac:dyDescent="0.25">
      <c r="A32" s="38"/>
      <c r="B32" s="212" t="s">
        <v>77</v>
      </c>
      <c r="C32" s="47" t="s">
        <v>53</v>
      </c>
      <c r="D32" s="48">
        <f>D29</f>
        <v>70834.866666666669</v>
      </c>
      <c r="E32" s="48">
        <f t="shared" ref="E32:K33" si="15">E29+D32</f>
        <v>158784.86666666667</v>
      </c>
      <c r="F32" s="48">
        <f t="shared" si="15"/>
        <v>206551.86666666667</v>
      </c>
      <c r="G32" s="48">
        <f t="shared" si="15"/>
        <v>308536.8666666667</v>
      </c>
      <c r="H32" s="48">
        <f t="shared" si="15"/>
        <v>391825.8666666667</v>
      </c>
      <c r="I32" s="48">
        <f t="shared" si="15"/>
        <v>467120.8666666667</v>
      </c>
      <c r="J32" s="48">
        <f t="shared" si="15"/>
        <v>552056.8666666667</v>
      </c>
      <c r="K32" s="48">
        <f t="shared" si="15"/>
        <v>552056.8666666667</v>
      </c>
      <c r="L32" s="48">
        <f t="shared" ref="L32:O33" si="16">L29+K32</f>
        <v>552056.8666666667</v>
      </c>
      <c r="M32" s="48">
        <f t="shared" si="16"/>
        <v>552056.8666666667</v>
      </c>
      <c r="N32" s="48">
        <f t="shared" si="16"/>
        <v>552056.8666666667</v>
      </c>
      <c r="O32" s="48">
        <f t="shared" si="16"/>
        <v>552056.8666666667</v>
      </c>
      <c r="P32" s="49"/>
      <c r="R32" s="212" t="s">
        <v>77</v>
      </c>
      <c r="S32" s="47" t="s">
        <v>53</v>
      </c>
      <c r="T32" s="48">
        <f>T29</f>
        <v>304325.8666666667</v>
      </c>
      <c r="U32" s="48">
        <f t="shared" ref="U32:X33" si="17">U29+T32</f>
        <v>625163.8666666667</v>
      </c>
      <c r="V32" s="48">
        <f t="shared" si="17"/>
        <v>864754.8666666667</v>
      </c>
      <c r="W32" s="48">
        <f t="shared" si="17"/>
        <v>1218154.8666666667</v>
      </c>
      <c r="X32" s="48">
        <f t="shared" si="17"/>
        <v>1510272.1866666668</v>
      </c>
      <c r="Y32" s="48">
        <f t="shared" ref="Y32:AC33" si="18">Y29+X32</f>
        <v>1816689.1866666668</v>
      </c>
      <c r="Z32" s="48">
        <f t="shared" si="18"/>
        <v>2120485.1866666665</v>
      </c>
      <c r="AA32" s="48">
        <f t="shared" si="18"/>
        <v>2120485.1866666665</v>
      </c>
      <c r="AB32" s="48">
        <f t="shared" si="18"/>
        <v>2120485.1866666665</v>
      </c>
      <c r="AC32" s="48">
        <f t="shared" si="18"/>
        <v>2120485.1866666665</v>
      </c>
      <c r="AD32" s="48">
        <f>AD29+AC32</f>
        <v>2120485.1866666665</v>
      </c>
      <c r="AE32" s="48">
        <f>AE29+AD32</f>
        <v>2120485.1866666665</v>
      </c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</row>
    <row r="33" spans="1:48" ht="12.2" customHeight="1" x14ac:dyDescent="0.25">
      <c r="A33" s="38"/>
      <c r="B33" s="212"/>
      <c r="C33" s="47" t="s">
        <v>46</v>
      </c>
      <c r="D33" s="48">
        <f>D30</f>
        <v>509456</v>
      </c>
      <c r="E33" s="48">
        <f t="shared" si="15"/>
        <v>1161856</v>
      </c>
      <c r="F33" s="48">
        <f t="shared" si="15"/>
        <v>1518742</v>
      </c>
      <c r="G33" s="48">
        <f t="shared" si="15"/>
        <v>2249058</v>
      </c>
      <c r="H33" s="48">
        <f t="shared" si="15"/>
        <v>2860324</v>
      </c>
      <c r="I33" s="48">
        <f t="shared" si="15"/>
        <v>3396918</v>
      </c>
      <c r="J33" s="48">
        <f t="shared" si="15"/>
        <v>4020002</v>
      </c>
      <c r="K33" s="48">
        <f t="shared" si="15"/>
        <v>4020002</v>
      </c>
      <c r="L33" s="48">
        <f t="shared" si="16"/>
        <v>4020002</v>
      </c>
      <c r="M33" s="48">
        <f t="shared" si="16"/>
        <v>4020002</v>
      </c>
      <c r="N33" s="48">
        <f t="shared" si="16"/>
        <v>4020002</v>
      </c>
      <c r="O33" s="48">
        <f t="shared" si="16"/>
        <v>4020002</v>
      </c>
      <c r="P33" s="49"/>
      <c r="R33" s="212"/>
      <c r="S33" s="47" t="s">
        <v>46</v>
      </c>
      <c r="T33" s="48">
        <f>T30</f>
        <v>2065809</v>
      </c>
      <c r="U33" s="48">
        <f t="shared" si="17"/>
        <v>4271244</v>
      </c>
      <c r="V33" s="48">
        <f t="shared" si="17"/>
        <v>5880733</v>
      </c>
      <c r="W33" s="48">
        <f t="shared" si="17"/>
        <v>8209581</v>
      </c>
      <c r="X33" s="48">
        <f t="shared" si="17"/>
        <v>10182381</v>
      </c>
      <c r="Y33" s="48">
        <f t="shared" si="18"/>
        <v>12199533</v>
      </c>
      <c r="Z33" s="48">
        <f t="shared" si="18"/>
        <v>14289112</v>
      </c>
      <c r="AA33" s="48">
        <f t="shared" si="18"/>
        <v>14289112</v>
      </c>
      <c r="AB33" s="48">
        <f t="shared" si="18"/>
        <v>14289112</v>
      </c>
      <c r="AC33" s="48">
        <f t="shared" si="18"/>
        <v>14289112</v>
      </c>
      <c r="AD33" s="48">
        <f>AD30+AC33</f>
        <v>14289112</v>
      </c>
      <c r="AE33" s="48">
        <f>AE30+AD33</f>
        <v>14289112</v>
      </c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</row>
    <row r="34" spans="1:48" ht="12.2" customHeight="1" x14ac:dyDescent="0.25">
      <c r="A34" s="38"/>
      <c r="B34" s="212"/>
      <c r="C34" s="75" t="s">
        <v>44</v>
      </c>
      <c r="D34" s="76">
        <f t="shared" ref="D34:O34" si="19">D33/D32*60</f>
        <v>431.52985864776571</v>
      </c>
      <c r="E34" s="76">
        <f t="shared" si="19"/>
        <v>439.0302518334031</v>
      </c>
      <c r="F34" s="76">
        <f t="shared" si="19"/>
        <v>441.17015968224933</v>
      </c>
      <c r="G34" s="76">
        <f t="shared" si="19"/>
        <v>437.36582100507485</v>
      </c>
      <c r="H34" s="76">
        <f t="shared" si="19"/>
        <v>437.99926089616679</v>
      </c>
      <c r="I34" s="76">
        <f t="shared" si="19"/>
        <v>436.32193409471608</v>
      </c>
      <c r="J34" s="76">
        <f t="shared" si="19"/>
        <v>436.91172877963174</v>
      </c>
      <c r="K34" s="76">
        <f t="shared" si="19"/>
        <v>436.91172877963174</v>
      </c>
      <c r="L34" s="76">
        <f t="shared" si="19"/>
        <v>436.91172877963174</v>
      </c>
      <c r="M34" s="76">
        <f t="shared" si="19"/>
        <v>436.91172877963174</v>
      </c>
      <c r="N34" s="76">
        <f t="shared" si="19"/>
        <v>436.91172877963174</v>
      </c>
      <c r="O34" s="76">
        <f t="shared" si="19"/>
        <v>436.91172877963174</v>
      </c>
      <c r="P34" s="49"/>
      <c r="R34" s="212"/>
      <c r="S34" s="75" t="s">
        <v>44</v>
      </c>
      <c r="T34" s="76">
        <f>T33/T32*60</f>
        <v>407.28887543352647</v>
      </c>
      <c r="U34" s="76">
        <f>U33/U32*60</f>
        <v>409.93194530969902</v>
      </c>
      <c r="V34" s="76">
        <f>V33/V32*60</f>
        <v>408.02774705402061</v>
      </c>
      <c r="W34" s="76">
        <f t="shared" ref="W34:AC34" si="20">W33/W32*60</f>
        <v>404.36144326038891</v>
      </c>
      <c r="X34" s="76">
        <f t="shared" si="20"/>
        <v>404.52500244238536</v>
      </c>
      <c r="Y34" s="76">
        <f t="shared" si="20"/>
        <v>402.91536129141122</v>
      </c>
      <c r="Z34" s="76">
        <f t="shared" si="20"/>
        <v>404.31629769964155</v>
      </c>
      <c r="AA34" s="76">
        <f t="shared" si="20"/>
        <v>404.31629769964155</v>
      </c>
      <c r="AB34" s="76">
        <f t="shared" si="20"/>
        <v>404.31629769964155</v>
      </c>
      <c r="AC34" s="76">
        <f t="shared" si="20"/>
        <v>404.31629769964155</v>
      </c>
      <c r="AD34" s="76">
        <f>AD33/AD32*60</f>
        <v>404.31629769964155</v>
      </c>
      <c r="AE34" s="76">
        <f>AE33/AE32*60</f>
        <v>404.31629769964155</v>
      </c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</row>
    <row r="35" spans="1:48" ht="12.2" customHeight="1" x14ac:dyDescent="0.25">
      <c r="A35" s="38"/>
      <c r="B35" s="54"/>
      <c r="C35" s="5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49"/>
      <c r="Q35" s="100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</row>
    <row r="36" spans="1:48" ht="12.2" customHeight="1" x14ac:dyDescent="0.25">
      <c r="A36" s="38"/>
      <c r="B36" s="42" t="s">
        <v>50</v>
      </c>
      <c r="C36" s="43"/>
      <c r="D36" s="44" t="s">
        <v>4</v>
      </c>
      <c r="E36" s="44" t="s">
        <v>5</v>
      </c>
      <c r="F36" s="44" t="s">
        <v>6</v>
      </c>
      <c r="G36" s="44" t="s">
        <v>7</v>
      </c>
      <c r="H36" s="44" t="s">
        <v>38</v>
      </c>
      <c r="I36" s="44" t="s">
        <v>9</v>
      </c>
      <c r="J36" s="44" t="s">
        <v>10</v>
      </c>
      <c r="K36" s="44" t="s">
        <v>39</v>
      </c>
      <c r="L36" s="44" t="s">
        <v>12</v>
      </c>
      <c r="M36" s="44" t="s">
        <v>40</v>
      </c>
      <c r="N36" s="44" t="s">
        <v>41</v>
      </c>
      <c r="O36" s="44" t="s">
        <v>42</v>
      </c>
      <c r="P36" s="49"/>
      <c r="Q36" s="10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</row>
    <row r="37" spans="1:48" ht="12.2" customHeight="1" x14ac:dyDescent="0.25">
      <c r="A37" s="38"/>
      <c r="B37" s="46"/>
      <c r="C37" s="58" t="s">
        <v>53</v>
      </c>
      <c r="D37" s="59">
        <v>77588</v>
      </c>
      <c r="E37" s="59">
        <v>84832.573333333203</v>
      </c>
      <c r="F37" s="59">
        <v>67324.600000000006</v>
      </c>
      <c r="G37" s="59">
        <v>70722.8666666668</v>
      </c>
      <c r="H37" s="59">
        <v>64432</v>
      </c>
      <c r="I37" s="84">
        <v>73616.2</v>
      </c>
      <c r="J37" s="59">
        <v>14780.900000000001</v>
      </c>
      <c r="K37" s="59"/>
      <c r="L37" s="59"/>
      <c r="M37" s="83"/>
      <c r="N37" s="84"/>
      <c r="O37" s="84"/>
      <c r="P37" s="49"/>
      <c r="Q37" s="100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</row>
    <row r="38" spans="1:48" ht="12.2" customHeight="1" x14ac:dyDescent="0.25">
      <c r="A38" s="38"/>
      <c r="B38" s="50"/>
      <c r="C38" s="58" t="s">
        <v>46</v>
      </c>
      <c r="D38" s="59">
        <v>550240</v>
      </c>
      <c r="E38" s="59">
        <v>574944</v>
      </c>
      <c r="F38" s="59">
        <v>461608</v>
      </c>
      <c r="G38" s="59">
        <v>483532</v>
      </c>
      <c r="H38" s="59">
        <v>445292</v>
      </c>
      <c r="I38" s="84">
        <v>534388</v>
      </c>
      <c r="J38" s="59">
        <v>59123.6</v>
      </c>
      <c r="K38" s="59"/>
      <c r="L38" s="59"/>
      <c r="M38" s="83"/>
      <c r="N38" s="84"/>
      <c r="O38" s="84"/>
      <c r="P38" s="49"/>
      <c r="Q38" s="100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</row>
    <row r="39" spans="1:48" ht="12.2" customHeight="1" x14ac:dyDescent="0.25">
      <c r="A39" s="38"/>
      <c r="B39" s="51"/>
      <c r="C39" s="52" t="s">
        <v>44</v>
      </c>
      <c r="D39" s="53">
        <f>D38/D37*60</f>
        <v>425.50909934525959</v>
      </c>
      <c r="E39" s="53">
        <f t="shared" ref="E39:O39" si="21">E38/E37*60</f>
        <v>406.64380018807304</v>
      </c>
      <c r="F39" s="53">
        <f t="shared" si="21"/>
        <v>411.38721953045388</v>
      </c>
      <c r="G39" s="53">
        <f t="shared" si="21"/>
        <v>410.21979689737236</v>
      </c>
      <c r="H39" s="53">
        <f t="shared" si="21"/>
        <v>414.66227961261484</v>
      </c>
      <c r="I39" s="53">
        <f t="shared" si="21"/>
        <v>435.54652372711445</v>
      </c>
      <c r="J39" s="53">
        <f t="shared" si="21"/>
        <v>239.99999999999997</v>
      </c>
      <c r="K39" s="53" t="e">
        <f t="shared" si="21"/>
        <v>#DIV/0!</v>
      </c>
      <c r="L39" s="53" t="e">
        <f t="shared" si="21"/>
        <v>#DIV/0!</v>
      </c>
      <c r="M39" s="53" t="e">
        <f t="shared" si="21"/>
        <v>#DIV/0!</v>
      </c>
      <c r="N39" s="53" t="e">
        <f t="shared" si="21"/>
        <v>#DIV/0!</v>
      </c>
      <c r="O39" s="53" t="e">
        <f t="shared" si="21"/>
        <v>#DIV/0!</v>
      </c>
      <c r="P39" s="49"/>
      <c r="Q39" s="100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</row>
    <row r="40" spans="1:48" ht="12.2" customHeight="1" x14ac:dyDescent="0.25">
      <c r="A40" s="38"/>
      <c r="B40" s="212" t="s">
        <v>77</v>
      </c>
      <c r="C40" s="47" t="s">
        <v>53</v>
      </c>
      <c r="D40" s="48">
        <f>D37</f>
        <v>77588</v>
      </c>
      <c r="E40" s="48">
        <f t="shared" ref="E40:K41" si="22">E37+D40</f>
        <v>162420.57333333319</v>
      </c>
      <c r="F40" s="48">
        <f t="shared" si="22"/>
        <v>229745.17333333319</v>
      </c>
      <c r="G40" s="48">
        <f t="shared" si="22"/>
        <v>300468.03999999998</v>
      </c>
      <c r="H40" s="48">
        <f t="shared" si="22"/>
        <v>364900.04</v>
      </c>
      <c r="I40" s="48">
        <f t="shared" si="22"/>
        <v>438516.24</v>
      </c>
      <c r="J40" s="48">
        <f t="shared" si="22"/>
        <v>453297.14</v>
      </c>
      <c r="K40" s="48">
        <f t="shared" si="22"/>
        <v>453297.14</v>
      </c>
      <c r="L40" s="48">
        <f t="shared" ref="L40:O41" si="23">L37+K40</f>
        <v>453297.14</v>
      </c>
      <c r="M40" s="48">
        <f t="shared" si="23"/>
        <v>453297.14</v>
      </c>
      <c r="N40" s="48">
        <f t="shared" si="23"/>
        <v>453297.14</v>
      </c>
      <c r="O40" s="48">
        <f t="shared" si="23"/>
        <v>453297.14</v>
      </c>
      <c r="P40" s="49"/>
      <c r="Q40" s="100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</row>
    <row r="41" spans="1:48" ht="12.2" customHeight="1" x14ac:dyDescent="0.25">
      <c r="A41" s="38"/>
      <c r="B41" s="212"/>
      <c r="C41" s="47" t="s">
        <v>46</v>
      </c>
      <c r="D41" s="48">
        <f>D38</f>
        <v>550240</v>
      </c>
      <c r="E41" s="48">
        <f t="shared" si="22"/>
        <v>1125184</v>
      </c>
      <c r="F41" s="48">
        <f t="shared" si="22"/>
        <v>1586792</v>
      </c>
      <c r="G41" s="48">
        <f t="shared" si="22"/>
        <v>2070324</v>
      </c>
      <c r="H41" s="48">
        <f t="shared" si="22"/>
        <v>2515616</v>
      </c>
      <c r="I41" s="48">
        <f t="shared" si="22"/>
        <v>3050004</v>
      </c>
      <c r="J41" s="48">
        <f t="shared" si="22"/>
        <v>3109127.6</v>
      </c>
      <c r="K41" s="48">
        <f t="shared" si="22"/>
        <v>3109127.6</v>
      </c>
      <c r="L41" s="48">
        <f t="shared" si="23"/>
        <v>3109127.6</v>
      </c>
      <c r="M41" s="48">
        <f t="shared" si="23"/>
        <v>3109127.6</v>
      </c>
      <c r="N41" s="48">
        <f t="shared" si="23"/>
        <v>3109127.6</v>
      </c>
      <c r="O41" s="48">
        <f t="shared" si="23"/>
        <v>3109127.6</v>
      </c>
      <c r="P41" s="49"/>
      <c r="Q41" s="100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</row>
    <row r="42" spans="1:48" ht="12.2" customHeight="1" x14ac:dyDescent="0.25">
      <c r="A42" s="38"/>
      <c r="B42" s="212"/>
      <c r="C42" s="75" t="s">
        <v>44</v>
      </c>
      <c r="D42" s="76">
        <f t="shared" ref="D42:O42" si="24">D41/D40*60</f>
        <v>425.50909934525959</v>
      </c>
      <c r="E42" s="76">
        <f t="shared" si="24"/>
        <v>415.65571783476071</v>
      </c>
      <c r="F42" s="76">
        <f t="shared" si="24"/>
        <v>414.40487570924984</v>
      </c>
      <c r="G42" s="76">
        <f t="shared" si="24"/>
        <v>413.4198099737996</v>
      </c>
      <c r="H42" s="76">
        <f t="shared" si="24"/>
        <v>413.63919828564559</v>
      </c>
      <c r="I42" s="76">
        <f t="shared" si="24"/>
        <v>417.31690484256637</v>
      </c>
      <c r="J42" s="76">
        <f t="shared" si="24"/>
        <v>411.53503858418344</v>
      </c>
      <c r="K42" s="76">
        <f t="shared" si="24"/>
        <v>411.53503858418344</v>
      </c>
      <c r="L42" s="76">
        <f t="shared" si="24"/>
        <v>411.53503858418344</v>
      </c>
      <c r="M42" s="76">
        <f t="shared" si="24"/>
        <v>411.53503858418344</v>
      </c>
      <c r="N42" s="76">
        <f t="shared" si="24"/>
        <v>411.53503858418344</v>
      </c>
      <c r="O42" s="76">
        <f t="shared" si="24"/>
        <v>411.53503858418344</v>
      </c>
      <c r="P42" s="49"/>
      <c r="Q42" s="100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</row>
    <row r="43" spans="1:48" ht="12.2" customHeight="1" x14ac:dyDescent="0.25">
      <c r="A43" s="38"/>
      <c r="B43" s="54"/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49"/>
      <c r="Q43" s="100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</row>
    <row r="44" spans="1:48" ht="12.2" customHeight="1" x14ac:dyDescent="0.25">
      <c r="A44" s="38"/>
      <c r="B44" s="42" t="s">
        <v>51</v>
      </c>
      <c r="C44" s="43"/>
      <c r="D44" s="44" t="s">
        <v>4</v>
      </c>
      <c r="E44" s="44" t="s">
        <v>5</v>
      </c>
      <c r="F44" s="44" t="s">
        <v>6</v>
      </c>
      <c r="G44" s="44" t="s">
        <v>7</v>
      </c>
      <c r="H44" s="44" t="s">
        <v>38</v>
      </c>
      <c r="I44" s="44" t="s">
        <v>9</v>
      </c>
      <c r="J44" s="44" t="s">
        <v>10</v>
      </c>
      <c r="K44" s="44" t="s">
        <v>39</v>
      </c>
      <c r="L44" s="44" t="s">
        <v>12</v>
      </c>
      <c r="M44" s="44" t="s">
        <v>40</v>
      </c>
      <c r="N44" s="44" t="s">
        <v>41</v>
      </c>
      <c r="O44" s="44" t="s">
        <v>42</v>
      </c>
      <c r="P44" s="49"/>
      <c r="Q44" s="100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</row>
    <row r="45" spans="1:48" ht="12.2" customHeight="1" x14ac:dyDescent="0.25">
      <c r="A45" s="38"/>
      <c r="B45" s="46"/>
      <c r="C45" s="58" t="s">
        <v>53</v>
      </c>
      <c r="D45" s="59">
        <v>77766.8</v>
      </c>
      <c r="E45" s="59">
        <v>83559.399999999994</v>
      </c>
      <c r="F45" s="59">
        <v>59849.599999999999</v>
      </c>
      <c r="G45" s="59">
        <v>80207.600000000006</v>
      </c>
      <c r="H45" s="59">
        <v>74808</v>
      </c>
      <c r="I45" s="84">
        <v>76053.440000000002</v>
      </c>
      <c r="J45" s="59">
        <v>17202.500000000007</v>
      </c>
      <c r="K45" s="59"/>
      <c r="L45" s="59"/>
      <c r="M45" s="84"/>
      <c r="N45" s="84"/>
      <c r="O45" s="84"/>
      <c r="P45" s="49"/>
      <c r="Q45" s="100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</row>
    <row r="46" spans="1:48" ht="12.2" customHeight="1" x14ac:dyDescent="0.25">
      <c r="A46" s="38"/>
      <c r="B46" s="50"/>
      <c r="C46" s="58" t="s">
        <v>46</v>
      </c>
      <c r="D46" s="59">
        <v>665120</v>
      </c>
      <c r="E46" s="59">
        <v>703492</v>
      </c>
      <c r="F46" s="59">
        <v>524052</v>
      </c>
      <c r="G46" s="59">
        <v>697812</v>
      </c>
      <c r="H46" s="59">
        <v>639744</v>
      </c>
      <c r="I46" s="84">
        <v>663732</v>
      </c>
      <c r="J46" s="59">
        <v>68810</v>
      </c>
      <c r="K46" s="59"/>
      <c r="L46" s="59"/>
      <c r="M46" s="84"/>
      <c r="N46" s="84"/>
      <c r="O46" s="84"/>
      <c r="P46" s="49"/>
      <c r="Q46" s="100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</row>
    <row r="47" spans="1:48" ht="12.2" customHeight="1" x14ac:dyDescent="0.25">
      <c r="A47" s="38"/>
      <c r="B47" s="51"/>
      <c r="C47" s="52" t="s">
        <v>44</v>
      </c>
      <c r="D47" s="53">
        <f>D46/D45*60</f>
        <v>513.16500100299868</v>
      </c>
      <c r="E47" s="53">
        <f t="shared" ref="E47:O47" si="25">E46/E45*60</f>
        <v>505.14388566696272</v>
      </c>
      <c r="F47" s="53">
        <f>F46/F45*60</f>
        <v>525.36892477142703</v>
      </c>
      <c r="G47" s="53">
        <f t="shared" si="25"/>
        <v>522.00439858567017</v>
      </c>
      <c r="H47" s="53">
        <f t="shared" si="25"/>
        <v>513.10875842155917</v>
      </c>
      <c r="I47" s="53">
        <f t="shared" si="25"/>
        <v>523.63075227103457</v>
      </c>
      <c r="J47" s="53">
        <f>J46/J45*60</f>
        <v>239.99999999999989</v>
      </c>
      <c r="K47" s="53" t="e">
        <f t="shared" si="25"/>
        <v>#DIV/0!</v>
      </c>
      <c r="L47" s="53" t="e">
        <f t="shared" si="25"/>
        <v>#DIV/0!</v>
      </c>
      <c r="M47" s="53" t="e">
        <f t="shared" si="25"/>
        <v>#DIV/0!</v>
      </c>
      <c r="N47" s="53" t="e">
        <f t="shared" si="25"/>
        <v>#DIV/0!</v>
      </c>
      <c r="O47" s="53" t="e">
        <f t="shared" si="25"/>
        <v>#DIV/0!</v>
      </c>
      <c r="P47" s="49"/>
      <c r="Q47" s="10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</row>
    <row r="48" spans="1:48" ht="12.2" customHeight="1" x14ac:dyDescent="0.25">
      <c r="A48" s="38"/>
      <c r="B48" s="212" t="s">
        <v>77</v>
      </c>
      <c r="C48" s="47" t="s">
        <v>53</v>
      </c>
      <c r="D48" s="48">
        <f>D45</f>
        <v>77766.8</v>
      </c>
      <c r="E48" s="48">
        <f t="shared" ref="E48:K49" si="26">E45+D48</f>
        <v>161326.20000000001</v>
      </c>
      <c r="F48" s="48">
        <f t="shared" si="26"/>
        <v>221175.80000000002</v>
      </c>
      <c r="G48" s="48">
        <f t="shared" si="26"/>
        <v>301383.40000000002</v>
      </c>
      <c r="H48" s="48">
        <f t="shared" si="26"/>
        <v>376191.4</v>
      </c>
      <c r="I48" s="48">
        <f t="shared" si="26"/>
        <v>452244.84</v>
      </c>
      <c r="J48" s="48">
        <f t="shared" si="26"/>
        <v>469447.34</v>
      </c>
      <c r="K48" s="48">
        <f t="shared" si="26"/>
        <v>469447.34</v>
      </c>
      <c r="L48" s="48">
        <f t="shared" ref="L48:O49" si="27">L45+K48</f>
        <v>469447.34</v>
      </c>
      <c r="M48" s="48">
        <f t="shared" si="27"/>
        <v>469447.34</v>
      </c>
      <c r="N48" s="48">
        <f t="shared" si="27"/>
        <v>469447.34</v>
      </c>
      <c r="O48" s="48">
        <f t="shared" si="27"/>
        <v>469447.34</v>
      </c>
      <c r="P48" s="49"/>
      <c r="Q48" s="100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</row>
    <row r="49" spans="1:48" ht="12.2" customHeight="1" x14ac:dyDescent="0.25">
      <c r="A49" s="38"/>
      <c r="B49" s="212"/>
      <c r="C49" s="47" t="s">
        <v>46</v>
      </c>
      <c r="D49" s="48">
        <f>D46</f>
        <v>665120</v>
      </c>
      <c r="E49" s="48">
        <f t="shared" si="26"/>
        <v>1368612</v>
      </c>
      <c r="F49" s="48">
        <f t="shared" si="26"/>
        <v>1892664</v>
      </c>
      <c r="G49" s="48">
        <f t="shared" si="26"/>
        <v>2590476</v>
      </c>
      <c r="H49" s="48">
        <f t="shared" si="26"/>
        <v>3230220</v>
      </c>
      <c r="I49" s="48">
        <f t="shared" si="26"/>
        <v>3893952</v>
      </c>
      <c r="J49" s="48">
        <f t="shared" si="26"/>
        <v>3962762</v>
      </c>
      <c r="K49" s="48">
        <f t="shared" si="26"/>
        <v>3962762</v>
      </c>
      <c r="L49" s="48">
        <f t="shared" si="27"/>
        <v>3962762</v>
      </c>
      <c r="M49" s="48">
        <f t="shared" si="27"/>
        <v>3962762</v>
      </c>
      <c r="N49" s="48">
        <f t="shared" si="27"/>
        <v>3962762</v>
      </c>
      <c r="O49" s="48">
        <f t="shared" si="27"/>
        <v>3962762</v>
      </c>
      <c r="P49" s="49"/>
      <c r="Q49" s="100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</row>
    <row r="50" spans="1:48" ht="12.2" customHeight="1" x14ac:dyDescent="0.25">
      <c r="A50" s="38"/>
      <c r="B50" s="212"/>
      <c r="C50" s="75" t="s">
        <v>44</v>
      </c>
      <c r="D50" s="76">
        <f>D49/D48*60</f>
        <v>513.16500100299868</v>
      </c>
      <c r="E50" s="76">
        <f>E49/E48*60</f>
        <v>509.01043971778915</v>
      </c>
      <c r="F50" s="76">
        <f t="shared" ref="F50:K50" si="28">F49/F48*60</f>
        <v>513.43700350580855</v>
      </c>
      <c r="G50" s="76">
        <f>G49/G48*60</f>
        <v>515.71705674566022</v>
      </c>
      <c r="H50" s="76">
        <f t="shared" si="28"/>
        <v>515.19838039891397</v>
      </c>
      <c r="I50" s="76">
        <f t="shared" si="28"/>
        <v>516.61644166022984</v>
      </c>
      <c r="J50" s="76">
        <f t="shared" si="28"/>
        <v>506.48006653951848</v>
      </c>
      <c r="K50" s="76">
        <f t="shared" si="28"/>
        <v>506.48006653951848</v>
      </c>
      <c r="L50" s="76">
        <f>L49/L48*60</f>
        <v>506.48006653951848</v>
      </c>
      <c r="M50" s="76">
        <f>M49/M48*60</f>
        <v>506.48006653951848</v>
      </c>
      <c r="N50" s="76">
        <f>N49/N48*60</f>
        <v>506.48006653951848</v>
      </c>
      <c r="O50" s="76">
        <f>O49/O48*60</f>
        <v>506.48006653951848</v>
      </c>
      <c r="P50" s="49"/>
      <c r="Q50" s="100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</row>
    <row r="51" spans="1:48" ht="12.2" customHeight="1" x14ac:dyDescent="0.25">
      <c r="A51" s="38"/>
      <c r="B51" s="54"/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49"/>
      <c r="Q51" s="100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</row>
    <row r="52" spans="1:48" ht="12.2" customHeight="1" x14ac:dyDescent="0.25">
      <c r="A52" s="38"/>
      <c r="B52" s="42" t="s">
        <v>80</v>
      </c>
      <c r="C52" s="43"/>
      <c r="D52" s="44" t="s">
        <v>4</v>
      </c>
      <c r="E52" s="44" t="s">
        <v>5</v>
      </c>
      <c r="F52" s="44" t="s">
        <v>6</v>
      </c>
      <c r="G52" s="44" t="s">
        <v>7</v>
      </c>
      <c r="H52" s="44" t="s">
        <v>38</v>
      </c>
      <c r="I52" s="44" t="s">
        <v>9</v>
      </c>
      <c r="J52" s="44" t="s">
        <v>10</v>
      </c>
      <c r="K52" s="44" t="s">
        <v>39</v>
      </c>
      <c r="L52" s="44" t="s">
        <v>12</v>
      </c>
      <c r="M52" s="44" t="s">
        <v>40</v>
      </c>
      <c r="N52" s="44" t="s">
        <v>41</v>
      </c>
      <c r="O52" s="44" t="s">
        <v>42</v>
      </c>
      <c r="P52" s="49"/>
      <c r="Q52" s="100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</row>
    <row r="53" spans="1:48" ht="12.2" customHeight="1" x14ac:dyDescent="0.25">
      <c r="A53" s="38"/>
      <c r="B53" s="46"/>
      <c r="C53" s="58" t="s">
        <v>53</v>
      </c>
      <c r="D53" s="84">
        <v>162056</v>
      </c>
      <c r="E53" s="84">
        <v>160987.5</v>
      </c>
      <c r="F53" s="84">
        <v>113638.49999999956</v>
      </c>
      <c r="G53" s="84">
        <v>176422.5</v>
      </c>
      <c r="H53" s="84">
        <v>171584</v>
      </c>
      <c r="I53" s="84">
        <v>154282.79999999999</v>
      </c>
      <c r="J53" s="84">
        <v>33775.399999999805</v>
      </c>
      <c r="K53" s="84"/>
      <c r="L53" s="84"/>
      <c r="M53" s="84"/>
      <c r="N53" s="84"/>
      <c r="O53" s="84"/>
      <c r="P53" s="49"/>
      <c r="Q53" s="100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</row>
    <row r="54" spans="1:48" ht="12.2" customHeight="1" x14ac:dyDescent="0.25">
      <c r="A54" s="38"/>
      <c r="B54" s="50"/>
      <c r="C54" s="58" t="s">
        <v>46</v>
      </c>
      <c r="D54" s="84">
        <v>1654488</v>
      </c>
      <c r="E54" s="84">
        <v>1470186</v>
      </c>
      <c r="F54" s="84">
        <v>1025419.5</v>
      </c>
      <c r="G54" s="84">
        <v>1608889.5</v>
      </c>
      <c r="H54" s="84">
        <v>1575860</v>
      </c>
      <c r="I54" s="84">
        <v>1413468</v>
      </c>
      <c r="J54" s="84">
        <v>135101.59999999919</v>
      </c>
      <c r="K54" s="84"/>
      <c r="L54" s="84"/>
      <c r="M54" s="84"/>
      <c r="N54" s="84"/>
      <c r="O54" s="84"/>
      <c r="P54" s="49"/>
      <c r="Q54" s="100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</row>
    <row r="55" spans="1:48" ht="12.2" customHeight="1" x14ac:dyDescent="0.25">
      <c r="A55" s="38"/>
      <c r="B55" s="51"/>
      <c r="C55" s="52" t="s">
        <v>44</v>
      </c>
      <c r="D55" s="53">
        <f>D54/D53*60</f>
        <v>612.56158365009628</v>
      </c>
      <c r="E55" s="53">
        <f>E54/E53*60</f>
        <v>547.93794549266249</v>
      </c>
      <c r="F55" s="53">
        <f>F54/F53*60</f>
        <v>541.41131746723363</v>
      </c>
      <c r="G55" s="53">
        <f t="shared" ref="G55:O55" si="29">G54/G53*60</f>
        <v>547.17153424308117</v>
      </c>
      <c r="H55" s="53">
        <f t="shared" si="29"/>
        <v>551.05138008205893</v>
      </c>
      <c r="I55" s="53">
        <f t="shared" si="29"/>
        <v>549.69238307834701</v>
      </c>
      <c r="J55" s="53">
        <f t="shared" si="29"/>
        <v>239.99999999999994</v>
      </c>
      <c r="K55" s="53" t="e">
        <f t="shared" si="29"/>
        <v>#DIV/0!</v>
      </c>
      <c r="L55" s="53" t="e">
        <f t="shared" si="29"/>
        <v>#DIV/0!</v>
      </c>
      <c r="M55" s="53" t="e">
        <f t="shared" si="29"/>
        <v>#DIV/0!</v>
      </c>
      <c r="N55" s="53" t="e">
        <f t="shared" si="29"/>
        <v>#DIV/0!</v>
      </c>
      <c r="O55" s="53" t="e">
        <f t="shared" si="29"/>
        <v>#DIV/0!</v>
      </c>
      <c r="P55" s="49"/>
      <c r="Q55" s="100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</row>
    <row r="56" spans="1:48" ht="12.2" customHeight="1" x14ac:dyDescent="0.25">
      <c r="A56" s="38"/>
      <c r="B56" s="212" t="s">
        <v>77</v>
      </c>
      <c r="C56" s="47" t="s">
        <v>53</v>
      </c>
      <c r="D56" s="48">
        <f>D53</f>
        <v>162056</v>
      </c>
      <c r="E56" s="48">
        <f t="shared" ref="E56:O56" si="30">E53+D56</f>
        <v>323043.5</v>
      </c>
      <c r="F56" s="48">
        <f t="shared" si="30"/>
        <v>436681.99999999953</v>
      </c>
      <c r="G56" s="48">
        <f t="shared" si="30"/>
        <v>613104.49999999953</v>
      </c>
      <c r="H56" s="48">
        <f t="shared" si="30"/>
        <v>784688.49999999953</v>
      </c>
      <c r="I56" s="48">
        <f t="shared" si="30"/>
        <v>938971.29999999958</v>
      </c>
      <c r="J56" s="48">
        <f t="shared" si="30"/>
        <v>972746.69999999937</v>
      </c>
      <c r="K56" s="48">
        <f t="shared" si="30"/>
        <v>972746.69999999937</v>
      </c>
      <c r="L56" s="48">
        <f t="shared" si="30"/>
        <v>972746.69999999937</v>
      </c>
      <c r="M56" s="48">
        <f t="shared" si="30"/>
        <v>972746.69999999937</v>
      </c>
      <c r="N56" s="48">
        <f t="shared" si="30"/>
        <v>972746.69999999937</v>
      </c>
      <c r="O56" s="48">
        <f t="shared" si="30"/>
        <v>972746.69999999937</v>
      </c>
      <c r="P56" s="49"/>
      <c r="Q56" s="100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</row>
    <row r="57" spans="1:48" ht="12.2" customHeight="1" x14ac:dyDescent="0.25">
      <c r="A57" s="38"/>
      <c r="B57" s="212"/>
      <c r="C57" s="47" t="s">
        <v>46</v>
      </c>
      <c r="D57" s="48">
        <f>D54</f>
        <v>1654488</v>
      </c>
      <c r="E57" s="48">
        <f t="shared" ref="E57:O57" si="31">E54+D57</f>
        <v>3124674</v>
      </c>
      <c r="F57" s="48">
        <f t="shared" si="31"/>
        <v>4150093.5</v>
      </c>
      <c r="G57" s="48">
        <f t="shared" si="31"/>
        <v>5758983</v>
      </c>
      <c r="H57" s="48">
        <f t="shared" si="31"/>
        <v>7334843</v>
      </c>
      <c r="I57" s="48">
        <f t="shared" si="31"/>
        <v>8748311</v>
      </c>
      <c r="J57" s="48">
        <f t="shared" si="31"/>
        <v>8883412.5999999996</v>
      </c>
      <c r="K57" s="48">
        <f t="shared" si="31"/>
        <v>8883412.5999999996</v>
      </c>
      <c r="L57" s="48">
        <f t="shared" si="31"/>
        <v>8883412.5999999996</v>
      </c>
      <c r="M57" s="48">
        <f t="shared" si="31"/>
        <v>8883412.5999999996</v>
      </c>
      <c r="N57" s="48">
        <f t="shared" si="31"/>
        <v>8883412.5999999996</v>
      </c>
      <c r="O57" s="48">
        <f t="shared" si="31"/>
        <v>8883412.5999999996</v>
      </c>
      <c r="P57" s="49"/>
      <c r="Q57" s="100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</row>
    <row r="58" spans="1:48" ht="12.2" customHeight="1" x14ac:dyDescent="0.25">
      <c r="A58" s="38"/>
      <c r="B58" s="212"/>
      <c r="C58" s="75" t="s">
        <v>44</v>
      </c>
      <c r="D58" s="76">
        <f>D57/D56*60</f>
        <v>612.56158365009628</v>
      </c>
      <c r="E58" s="76">
        <f>E57/E56*60</f>
        <v>580.35663927613462</v>
      </c>
      <c r="F58" s="76">
        <f>F57/F56*60</f>
        <v>570.22183190513988</v>
      </c>
      <c r="G58" s="76">
        <f>G57/G56*60</f>
        <v>563.58904558684583</v>
      </c>
      <c r="H58" s="76">
        <f t="shared" ref="H58:O58" si="32">H57/H56*60</f>
        <v>560.84749553485278</v>
      </c>
      <c r="I58" s="76">
        <f t="shared" si="32"/>
        <v>559.01459394978338</v>
      </c>
      <c r="J58" s="76">
        <f t="shared" si="32"/>
        <v>547.93787118475996</v>
      </c>
      <c r="K58" s="76">
        <f t="shared" si="32"/>
        <v>547.93787118475996</v>
      </c>
      <c r="L58" s="76">
        <f t="shared" si="32"/>
        <v>547.93787118475996</v>
      </c>
      <c r="M58" s="76">
        <f t="shared" si="32"/>
        <v>547.93787118475996</v>
      </c>
      <c r="N58" s="76">
        <f t="shared" si="32"/>
        <v>547.93787118475996</v>
      </c>
      <c r="O58" s="76">
        <f t="shared" si="32"/>
        <v>547.93787118475996</v>
      </c>
      <c r="P58" s="49"/>
      <c r="Q58" s="100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</row>
    <row r="59" spans="1:48" ht="12.2" customHeight="1" x14ac:dyDescent="0.25">
      <c r="A59" s="38"/>
      <c r="B59" s="54"/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49"/>
      <c r="Q59" s="100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</row>
    <row r="60" spans="1:48" ht="12.2" customHeight="1" x14ac:dyDescent="0.25">
      <c r="A60" s="38"/>
      <c r="B60" s="42" t="s">
        <v>43</v>
      </c>
      <c r="C60" s="43"/>
      <c r="D60" s="44" t="s">
        <v>4</v>
      </c>
      <c r="E60" s="44" t="s">
        <v>5</v>
      </c>
      <c r="F60" s="44" t="s">
        <v>6</v>
      </c>
      <c r="G60" s="44" t="s">
        <v>7</v>
      </c>
      <c r="H60" s="44" t="s">
        <v>38</v>
      </c>
      <c r="I60" s="44" t="s">
        <v>9</v>
      </c>
      <c r="J60" s="44" t="s">
        <v>10</v>
      </c>
      <c r="K60" s="44" t="s">
        <v>39</v>
      </c>
      <c r="L60" s="44" t="s">
        <v>12</v>
      </c>
      <c r="M60" s="44" t="s">
        <v>40</v>
      </c>
      <c r="N60" s="44" t="s">
        <v>41</v>
      </c>
      <c r="O60" s="44" t="s">
        <v>42</v>
      </c>
      <c r="P60" s="49"/>
      <c r="Q60" s="100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</row>
    <row r="61" spans="1:48" ht="12.2" customHeight="1" x14ac:dyDescent="0.25">
      <c r="A61" s="38"/>
      <c r="B61" s="208" t="s">
        <v>16</v>
      </c>
      <c r="C61" s="47" t="s">
        <v>53</v>
      </c>
      <c r="D61" s="56">
        <f t="shared" ref="D61:N61" si="33">D5+D13+D21+D29+D37+D45+D53</f>
        <v>621736.66666666674</v>
      </c>
      <c r="E61" s="56">
        <f t="shared" si="33"/>
        <v>650217.47333333315</v>
      </c>
      <c r="F61" s="56">
        <f t="shared" si="33"/>
        <v>480403.69999999949</v>
      </c>
      <c r="G61" s="56">
        <f t="shared" si="33"/>
        <v>680752.96666666679</v>
      </c>
      <c r="H61" s="56">
        <f t="shared" si="33"/>
        <v>602941.32000000007</v>
      </c>
      <c r="I61" s="56">
        <f t="shared" si="33"/>
        <v>610369.43999999994</v>
      </c>
      <c r="J61" s="56">
        <f t="shared" si="33"/>
        <v>369554.79999999981</v>
      </c>
      <c r="K61" s="56">
        <f t="shared" si="33"/>
        <v>0</v>
      </c>
      <c r="L61" s="56">
        <f t="shared" si="33"/>
        <v>0</v>
      </c>
      <c r="M61" s="56">
        <f t="shared" si="33"/>
        <v>0</v>
      </c>
      <c r="N61" s="56">
        <f t="shared" si="33"/>
        <v>0</v>
      </c>
      <c r="O61" s="56">
        <f>O5+O13+O21+O29+O37+O45+O53</f>
        <v>0</v>
      </c>
      <c r="P61" s="49"/>
      <c r="Q61" s="100"/>
      <c r="R61" s="39"/>
      <c r="S61" s="103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</row>
    <row r="62" spans="1:48" ht="12.2" customHeight="1" x14ac:dyDescent="0.25">
      <c r="A62" s="38"/>
      <c r="B62" s="209"/>
      <c r="C62" s="47" t="s">
        <v>46</v>
      </c>
      <c r="D62" s="56">
        <f>D6+D14+D22+D30+D38+D46+D54</f>
        <v>4935657</v>
      </c>
      <c r="E62" s="56">
        <f t="shared" ref="E62:N62" si="34">E6+E14+E22+E30+E38+E46+E54</f>
        <v>4954057</v>
      </c>
      <c r="F62" s="56">
        <f t="shared" si="34"/>
        <v>3620568.5</v>
      </c>
      <c r="G62" s="56">
        <f t="shared" si="34"/>
        <v>5119081.5</v>
      </c>
      <c r="H62" s="56">
        <f t="shared" si="34"/>
        <v>4633696</v>
      </c>
      <c r="I62" s="56">
        <f t="shared" si="34"/>
        <v>4628740</v>
      </c>
      <c r="J62" s="56">
        <f t="shared" si="34"/>
        <v>2352614.1999999993</v>
      </c>
      <c r="K62" s="56">
        <f t="shared" si="34"/>
        <v>0</v>
      </c>
      <c r="L62" s="56">
        <f t="shared" si="34"/>
        <v>0</v>
      </c>
      <c r="M62" s="56">
        <f t="shared" si="34"/>
        <v>0</v>
      </c>
      <c r="N62" s="56">
        <f t="shared" si="34"/>
        <v>0</v>
      </c>
      <c r="O62" s="56">
        <f>O6+O14+O22+O30+O38+O46+O54</f>
        <v>0</v>
      </c>
      <c r="P62" s="49"/>
      <c r="Q62" s="100"/>
      <c r="R62" s="39"/>
      <c r="S62" s="103"/>
      <c r="T62" s="103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</row>
    <row r="63" spans="1:48" ht="12.2" customHeight="1" x14ac:dyDescent="0.25">
      <c r="A63" s="38"/>
      <c r="B63" s="210"/>
      <c r="C63" s="52" t="s">
        <v>44</v>
      </c>
      <c r="D63" s="53">
        <f>D62/D61*60</f>
        <v>476.31004551766284</v>
      </c>
      <c r="E63" s="53">
        <f t="shared" ref="E63:N63" si="35">E62/E61*60</f>
        <v>457.144620362453</v>
      </c>
      <c r="F63" s="53">
        <f t="shared" si="35"/>
        <v>452.19075123692892</v>
      </c>
      <c r="G63" s="53">
        <f t="shared" si="35"/>
        <v>451.18406388142063</v>
      </c>
      <c r="H63" s="53">
        <f t="shared" si="35"/>
        <v>461.10915072133383</v>
      </c>
      <c r="I63" s="53">
        <f t="shared" si="35"/>
        <v>455.01032948176436</v>
      </c>
      <c r="J63" s="53">
        <f t="shared" si="35"/>
        <v>381.96460173159716</v>
      </c>
      <c r="K63" s="53" t="e">
        <f t="shared" si="35"/>
        <v>#DIV/0!</v>
      </c>
      <c r="L63" s="53" t="e">
        <f t="shared" si="35"/>
        <v>#DIV/0!</v>
      </c>
      <c r="M63" s="53" t="e">
        <f t="shared" si="35"/>
        <v>#DIV/0!</v>
      </c>
      <c r="N63" s="53" t="e">
        <f t="shared" si="35"/>
        <v>#DIV/0!</v>
      </c>
      <c r="O63" s="53" t="e">
        <f>O62/O61*60</f>
        <v>#DIV/0!</v>
      </c>
      <c r="P63" s="49"/>
      <c r="Q63" s="100"/>
      <c r="R63" s="103"/>
      <c r="S63" s="103"/>
      <c r="T63" s="103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</row>
    <row r="64" spans="1:48" ht="12.2" customHeight="1" x14ac:dyDescent="0.25">
      <c r="A64" s="38"/>
      <c r="B64" s="54"/>
      <c r="C64" s="54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49"/>
      <c r="Q64" s="100"/>
      <c r="R64" s="39"/>
      <c r="S64" s="103"/>
      <c r="T64" s="103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</row>
    <row r="65" spans="1:48" ht="12.2" customHeight="1" x14ac:dyDescent="0.25">
      <c r="A65" s="38"/>
      <c r="B65" s="42" t="s">
        <v>43</v>
      </c>
      <c r="C65" s="43"/>
      <c r="D65" s="44" t="s">
        <v>4</v>
      </c>
      <c r="E65" s="44" t="s">
        <v>5</v>
      </c>
      <c r="F65" s="44" t="s">
        <v>6</v>
      </c>
      <c r="G65" s="44" t="s">
        <v>7</v>
      </c>
      <c r="H65" s="44" t="s">
        <v>38</v>
      </c>
      <c r="I65" s="44" t="s">
        <v>9</v>
      </c>
      <c r="J65" s="44" t="s">
        <v>10</v>
      </c>
      <c r="K65" s="44" t="s">
        <v>39</v>
      </c>
      <c r="L65" s="44" t="s">
        <v>12</v>
      </c>
      <c r="M65" s="44" t="s">
        <v>40</v>
      </c>
      <c r="N65" s="44" t="s">
        <v>41</v>
      </c>
      <c r="O65" s="44" t="s">
        <v>42</v>
      </c>
      <c r="P65" s="49"/>
      <c r="Q65" s="100"/>
      <c r="R65" s="39"/>
      <c r="S65" s="103"/>
      <c r="T65" s="103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</row>
    <row r="66" spans="1:48" ht="12.2" customHeight="1" x14ac:dyDescent="0.25">
      <c r="A66" s="38"/>
      <c r="B66" s="208" t="s">
        <v>17</v>
      </c>
      <c r="C66" s="47" t="s">
        <v>53</v>
      </c>
      <c r="D66" s="56">
        <f>D61</f>
        <v>621736.66666666674</v>
      </c>
      <c r="E66" s="56">
        <f>E61+D66</f>
        <v>1271954.1399999999</v>
      </c>
      <c r="F66" s="56">
        <f t="shared" ref="F66:N66" si="36">F61+E66</f>
        <v>1752357.8399999994</v>
      </c>
      <c r="G66" s="56">
        <f t="shared" si="36"/>
        <v>2433110.8066666662</v>
      </c>
      <c r="H66" s="56">
        <f t="shared" si="36"/>
        <v>3036052.126666666</v>
      </c>
      <c r="I66" s="56">
        <f t="shared" si="36"/>
        <v>3646421.566666666</v>
      </c>
      <c r="J66" s="56">
        <f t="shared" si="36"/>
        <v>4015976.3666666658</v>
      </c>
      <c r="K66" s="56">
        <f t="shared" si="36"/>
        <v>4015976.3666666658</v>
      </c>
      <c r="L66" s="56">
        <f t="shared" si="36"/>
        <v>4015976.3666666658</v>
      </c>
      <c r="M66" s="56">
        <f t="shared" si="36"/>
        <v>4015976.3666666658</v>
      </c>
      <c r="N66" s="56">
        <f t="shared" si="36"/>
        <v>4015976.3666666658</v>
      </c>
      <c r="O66" s="56">
        <f>O61+N66</f>
        <v>4015976.3666666658</v>
      </c>
      <c r="P66" s="49"/>
      <c r="Q66" s="100"/>
      <c r="R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</row>
    <row r="67" spans="1:48" ht="12.2" customHeight="1" x14ac:dyDescent="0.25">
      <c r="A67" s="38"/>
      <c r="B67" s="209"/>
      <c r="C67" s="47" t="s">
        <v>46</v>
      </c>
      <c r="D67" s="56">
        <f>D62</f>
        <v>4935657</v>
      </c>
      <c r="E67" s="56">
        <f>E62+D67</f>
        <v>9889714</v>
      </c>
      <c r="F67" s="56">
        <f t="shared" ref="F67:N67" si="37">F62+E67</f>
        <v>13510282.5</v>
      </c>
      <c r="G67" s="56">
        <f t="shared" si="37"/>
        <v>18629364</v>
      </c>
      <c r="H67" s="56">
        <f t="shared" si="37"/>
        <v>23263060</v>
      </c>
      <c r="I67" s="56">
        <f t="shared" si="37"/>
        <v>27891800</v>
      </c>
      <c r="J67" s="56">
        <f t="shared" si="37"/>
        <v>30244414.199999999</v>
      </c>
      <c r="K67" s="56">
        <f t="shared" si="37"/>
        <v>30244414.199999999</v>
      </c>
      <c r="L67" s="56">
        <f t="shared" si="37"/>
        <v>30244414.199999999</v>
      </c>
      <c r="M67" s="56">
        <f t="shared" si="37"/>
        <v>30244414.199999999</v>
      </c>
      <c r="N67" s="56">
        <f t="shared" si="37"/>
        <v>30244414.199999999</v>
      </c>
      <c r="O67" s="56">
        <f>O62+N67</f>
        <v>30244414.199999999</v>
      </c>
      <c r="P67" s="49"/>
      <c r="Q67" s="100"/>
      <c r="R67" s="39">
        <v>94943</v>
      </c>
      <c r="S67">
        <v>16470</v>
      </c>
      <c r="T67" s="39">
        <v>4</v>
      </c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</row>
    <row r="68" spans="1:48" ht="12.2" customHeight="1" x14ac:dyDescent="0.25">
      <c r="A68" s="38"/>
      <c r="B68" s="210"/>
      <c r="C68" s="75" t="s">
        <v>44</v>
      </c>
      <c r="D68" s="76">
        <f t="shared" ref="D68:N68" si="38">D67/D66*60</f>
        <v>476.31004551766284</v>
      </c>
      <c r="E68" s="76">
        <f t="shared" si="38"/>
        <v>466.51276279504862</v>
      </c>
      <c r="F68" s="76">
        <f t="shared" si="38"/>
        <v>462.58642584096879</v>
      </c>
      <c r="G68" s="76">
        <f t="shared" si="38"/>
        <v>459.3961922890478</v>
      </c>
      <c r="H68" s="76">
        <f t="shared" si="38"/>
        <v>459.73637532121523</v>
      </c>
      <c r="I68" s="76">
        <f t="shared" si="38"/>
        <v>458.94528907413684</v>
      </c>
      <c r="J68" s="76">
        <f t="shared" si="38"/>
        <v>451.86143699999042</v>
      </c>
      <c r="K68" s="76">
        <f t="shared" si="38"/>
        <v>451.86143699999042</v>
      </c>
      <c r="L68" s="76">
        <f t="shared" si="38"/>
        <v>451.86143699999042</v>
      </c>
      <c r="M68" s="76">
        <f t="shared" si="38"/>
        <v>451.86143699999042</v>
      </c>
      <c r="N68" s="76">
        <f t="shared" si="38"/>
        <v>451.86143699999042</v>
      </c>
      <c r="O68" s="76">
        <f>O67/O66*60</f>
        <v>451.86143699999042</v>
      </c>
      <c r="P68" s="49"/>
      <c r="Q68" s="100"/>
      <c r="R68" s="39">
        <v>94943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</row>
    <row r="69" spans="1:48" ht="12.2" customHeight="1" x14ac:dyDescent="0.25">
      <c r="A69" s="38"/>
      <c r="B69" s="57"/>
      <c r="C69" s="57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100"/>
      <c r="Q69" s="100"/>
      <c r="R69">
        <v>16470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</row>
    <row r="70" spans="1:48" ht="12.2" customHeight="1" x14ac:dyDescent="0.25">
      <c r="Q70" s="100"/>
      <c r="R70" s="39">
        <v>4</v>
      </c>
      <c r="S70" s="103"/>
    </row>
    <row r="71" spans="1:48" ht="12.2" customHeight="1" x14ac:dyDescent="0.25">
      <c r="Q71" s="100"/>
      <c r="R71" s="39"/>
      <c r="S71" s="103"/>
    </row>
    <row r="72" spans="1:48" ht="12.2" customHeight="1" x14ac:dyDescent="0.25">
      <c r="A72" s="38" t="s">
        <v>59</v>
      </c>
      <c r="B72" s="61" t="s">
        <v>60</v>
      </c>
      <c r="C72" s="62"/>
      <c r="D72" s="63" t="s">
        <v>4</v>
      </c>
      <c r="E72" s="63" t="s">
        <v>5</v>
      </c>
      <c r="F72" s="63" t="s">
        <v>6</v>
      </c>
      <c r="G72" s="63" t="s">
        <v>7</v>
      </c>
      <c r="H72" s="63" t="s">
        <v>38</v>
      </c>
      <c r="I72" s="63" t="s">
        <v>9</v>
      </c>
      <c r="J72" s="63" t="s">
        <v>10</v>
      </c>
      <c r="K72" s="63" t="s">
        <v>39</v>
      </c>
      <c r="L72" s="63" t="s">
        <v>12</v>
      </c>
      <c r="M72" s="63" t="s">
        <v>40</v>
      </c>
      <c r="N72" s="63" t="s">
        <v>41</v>
      </c>
      <c r="O72" s="63" t="s">
        <v>42</v>
      </c>
      <c r="Q72" s="100"/>
      <c r="R72" s="39"/>
      <c r="S72" s="103"/>
    </row>
    <row r="73" spans="1:48" ht="12.2" customHeight="1" x14ac:dyDescent="0.25">
      <c r="A73" s="38"/>
      <c r="B73" s="207" t="s">
        <v>16</v>
      </c>
      <c r="C73" s="62" t="s">
        <v>61</v>
      </c>
      <c r="D73" s="64">
        <v>111173</v>
      </c>
      <c r="E73" s="64">
        <v>115190</v>
      </c>
      <c r="F73" s="64">
        <v>84860</v>
      </c>
      <c r="G73" s="64">
        <v>133881</v>
      </c>
      <c r="H73" s="64">
        <v>97064</v>
      </c>
      <c r="I73" s="64">
        <v>119251</v>
      </c>
      <c r="J73" s="64">
        <v>83278</v>
      </c>
      <c r="K73" s="64"/>
      <c r="L73" s="64"/>
      <c r="M73" s="64"/>
      <c r="N73" s="64"/>
      <c r="O73" s="64"/>
      <c r="P73" s="100">
        <f>SUM(D73:O73)</f>
        <v>744697</v>
      </c>
      <c r="Q73" s="157">
        <f>P73/P76</f>
        <v>0.99849561354698657</v>
      </c>
      <c r="R73" s="39"/>
      <c r="S73">
        <v>123878</v>
      </c>
      <c r="T73">
        <v>1619</v>
      </c>
      <c r="U73">
        <v>18</v>
      </c>
    </row>
    <row r="74" spans="1:48" ht="12.2" customHeight="1" x14ac:dyDescent="0.25">
      <c r="A74" s="38"/>
      <c r="B74" s="207"/>
      <c r="C74" s="62" t="s">
        <v>62</v>
      </c>
      <c r="D74" s="64">
        <v>240</v>
      </c>
      <c r="E74" s="64">
        <v>60</v>
      </c>
      <c r="F74" s="64">
        <v>19</v>
      </c>
      <c r="G74" s="64">
        <v>244</v>
      </c>
      <c r="H74" s="64">
        <v>11</v>
      </c>
      <c r="I74" s="64">
        <v>331</v>
      </c>
      <c r="J74" s="64">
        <v>104</v>
      </c>
      <c r="K74" s="64"/>
      <c r="L74" s="64"/>
      <c r="M74" s="64"/>
      <c r="N74" s="64"/>
      <c r="O74" s="64"/>
      <c r="P74" s="100">
        <f>SUM(D74:O74)</f>
        <v>1009</v>
      </c>
      <c r="Q74" s="157">
        <f>P74/P76</f>
        <v>1.3528751613997498E-3</v>
      </c>
      <c r="R74" s="39"/>
      <c r="S74">
        <v>123878</v>
      </c>
    </row>
    <row r="75" spans="1:48" ht="12.2" customHeight="1" x14ac:dyDescent="0.25">
      <c r="A75" s="38"/>
      <c r="B75" s="207"/>
      <c r="C75" s="62" t="s">
        <v>63</v>
      </c>
      <c r="D75" s="64">
        <v>4</v>
      </c>
      <c r="E75" s="64">
        <v>20</v>
      </c>
      <c r="F75" s="64">
        <v>47</v>
      </c>
      <c r="G75" s="64">
        <v>8</v>
      </c>
      <c r="H75" s="64">
        <v>10</v>
      </c>
      <c r="I75" s="64">
        <v>12</v>
      </c>
      <c r="J75" s="64">
        <v>12</v>
      </c>
      <c r="K75" s="64"/>
      <c r="L75" s="64"/>
      <c r="M75" s="64"/>
      <c r="N75" s="64"/>
      <c r="O75" s="64"/>
      <c r="P75" s="100">
        <f>SUM(D75:O75)</f>
        <v>113</v>
      </c>
      <c r="Q75" s="157">
        <f>P75/P76</f>
        <v>1.515112916136489E-4</v>
      </c>
      <c r="R75" s="39"/>
      <c r="S75">
        <v>1619</v>
      </c>
    </row>
    <row r="76" spans="1:48" ht="12.2" customHeight="1" x14ac:dyDescent="0.25">
      <c r="A76" s="38"/>
      <c r="B76" s="207"/>
      <c r="C76" s="62" t="s">
        <v>64</v>
      </c>
      <c r="D76" s="66">
        <f>SUM(D73:D75)</f>
        <v>111417</v>
      </c>
      <c r="E76" s="65">
        <f t="shared" ref="E76:P76" si="39">SUM(E73:E75)</f>
        <v>115270</v>
      </c>
      <c r="F76" s="65">
        <f t="shared" si="39"/>
        <v>84926</v>
      </c>
      <c r="G76" s="65">
        <f t="shared" si="39"/>
        <v>134133</v>
      </c>
      <c r="H76" s="65">
        <f t="shared" si="39"/>
        <v>97085</v>
      </c>
      <c r="I76" s="65">
        <f t="shared" si="39"/>
        <v>119594</v>
      </c>
      <c r="J76" s="65">
        <f t="shared" si="39"/>
        <v>83394</v>
      </c>
      <c r="K76" s="65">
        <f t="shared" si="39"/>
        <v>0</v>
      </c>
      <c r="L76" s="65">
        <f t="shared" si="39"/>
        <v>0</v>
      </c>
      <c r="M76" s="65">
        <f t="shared" si="39"/>
        <v>0</v>
      </c>
      <c r="N76" s="65">
        <f t="shared" si="39"/>
        <v>0</v>
      </c>
      <c r="O76" s="65">
        <f t="shared" si="39"/>
        <v>0</v>
      </c>
      <c r="P76" s="65">
        <f t="shared" si="39"/>
        <v>745819</v>
      </c>
      <c r="Q76" s="157">
        <f>SUM(Q73:Q75)</f>
        <v>0.99999999999999989</v>
      </c>
      <c r="R76" s="39"/>
      <c r="S76">
        <v>18</v>
      </c>
    </row>
    <row r="77" spans="1:48" ht="12.2" customHeight="1" x14ac:dyDescent="0.25">
      <c r="A77" s="38"/>
      <c r="B77" s="39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Q77" s="100"/>
      <c r="R77" s="39"/>
      <c r="S77" s="39"/>
    </row>
    <row r="78" spans="1:48" ht="12.2" hidden="1" customHeight="1" x14ac:dyDescent="0.25">
      <c r="A78" s="38"/>
      <c r="B78" s="207" t="s">
        <v>17</v>
      </c>
      <c r="C78" s="62" t="s">
        <v>61</v>
      </c>
      <c r="D78" s="66">
        <f>D73</f>
        <v>111173</v>
      </c>
      <c r="E78" s="66">
        <f t="shared" ref="E78:O80" si="40">D78+E73</f>
        <v>226363</v>
      </c>
      <c r="F78" s="66">
        <f t="shared" si="40"/>
        <v>311223</v>
      </c>
      <c r="G78" s="66">
        <f t="shared" si="40"/>
        <v>445104</v>
      </c>
      <c r="H78" s="66">
        <f t="shared" si="40"/>
        <v>542168</v>
      </c>
      <c r="I78" s="66">
        <f t="shared" si="40"/>
        <v>661419</v>
      </c>
      <c r="J78" s="66">
        <f t="shared" si="40"/>
        <v>744697</v>
      </c>
      <c r="K78" s="66">
        <f t="shared" si="40"/>
        <v>744697</v>
      </c>
      <c r="L78" s="66">
        <f t="shared" si="40"/>
        <v>744697</v>
      </c>
      <c r="M78" s="66">
        <f t="shared" si="40"/>
        <v>744697</v>
      </c>
      <c r="N78" s="66">
        <f t="shared" si="40"/>
        <v>744697</v>
      </c>
      <c r="O78" s="66">
        <f t="shared" si="40"/>
        <v>744697</v>
      </c>
      <c r="Q78" s="100"/>
      <c r="R78" s="39"/>
      <c r="S78" s="39"/>
    </row>
    <row r="79" spans="1:48" ht="12.2" hidden="1" customHeight="1" x14ac:dyDescent="0.25">
      <c r="A79" s="38"/>
      <c r="B79" s="207"/>
      <c r="C79" s="62" t="s">
        <v>62</v>
      </c>
      <c r="D79" s="66">
        <f>D74</f>
        <v>240</v>
      </c>
      <c r="E79" s="66">
        <f t="shared" si="40"/>
        <v>300</v>
      </c>
      <c r="F79" s="66">
        <f t="shared" si="40"/>
        <v>319</v>
      </c>
      <c r="G79" s="66">
        <f t="shared" si="40"/>
        <v>563</v>
      </c>
      <c r="H79" s="66">
        <f t="shared" si="40"/>
        <v>574</v>
      </c>
      <c r="I79" s="66">
        <f t="shared" si="40"/>
        <v>905</v>
      </c>
      <c r="J79" s="66">
        <f t="shared" si="40"/>
        <v>1009</v>
      </c>
      <c r="K79" s="66">
        <f t="shared" si="40"/>
        <v>1009</v>
      </c>
      <c r="L79" s="66">
        <f t="shared" si="40"/>
        <v>1009</v>
      </c>
      <c r="M79" s="66">
        <f t="shared" si="40"/>
        <v>1009</v>
      </c>
      <c r="N79" s="66">
        <f t="shared" si="40"/>
        <v>1009</v>
      </c>
      <c r="O79" s="66">
        <f t="shared" si="40"/>
        <v>1009</v>
      </c>
      <c r="Q79" s="100"/>
      <c r="R79" s="39"/>
      <c r="S79" s="39"/>
    </row>
    <row r="80" spans="1:48" ht="12.2" hidden="1" customHeight="1" x14ac:dyDescent="0.25">
      <c r="A80" s="38"/>
      <c r="B80" s="207"/>
      <c r="C80" s="62" t="s">
        <v>63</v>
      </c>
      <c r="D80" s="66">
        <f>D75</f>
        <v>4</v>
      </c>
      <c r="E80" s="66">
        <f t="shared" si="40"/>
        <v>24</v>
      </c>
      <c r="F80" s="66">
        <f t="shared" si="40"/>
        <v>71</v>
      </c>
      <c r="G80" s="66">
        <f t="shared" si="40"/>
        <v>79</v>
      </c>
      <c r="H80" s="66">
        <f t="shared" si="40"/>
        <v>89</v>
      </c>
      <c r="I80" s="66">
        <f t="shared" si="40"/>
        <v>101</v>
      </c>
      <c r="J80" s="66">
        <f t="shared" si="40"/>
        <v>113</v>
      </c>
      <c r="K80" s="66">
        <f t="shared" si="40"/>
        <v>113</v>
      </c>
      <c r="L80" s="66">
        <f t="shared" si="40"/>
        <v>113</v>
      </c>
      <c r="M80" s="66">
        <f t="shared" si="40"/>
        <v>113</v>
      </c>
      <c r="N80" s="66">
        <f t="shared" si="40"/>
        <v>113</v>
      </c>
      <c r="O80" s="66">
        <f t="shared" si="40"/>
        <v>113</v>
      </c>
      <c r="Q80" s="100"/>
      <c r="R80" s="39"/>
      <c r="S80" s="39"/>
    </row>
    <row r="81" spans="1:21" ht="12.2" hidden="1" customHeight="1" x14ac:dyDescent="0.25">
      <c r="A81" s="38"/>
      <c r="B81" s="207"/>
      <c r="C81" s="62" t="s">
        <v>64</v>
      </c>
      <c r="D81" s="66">
        <f t="shared" ref="D81:O81" si="41">SUM(D78:D80)</f>
        <v>111417</v>
      </c>
      <c r="E81" s="66">
        <f t="shared" si="41"/>
        <v>226687</v>
      </c>
      <c r="F81" s="66">
        <f t="shared" si="41"/>
        <v>311613</v>
      </c>
      <c r="G81" s="66">
        <f t="shared" si="41"/>
        <v>445746</v>
      </c>
      <c r="H81" s="66">
        <f t="shared" si="41"/>
        <v>542831</v>
      </c>
      <c r="I81" s="66">
        <f t="shared" si="41"/>
        <v>662425</v>
      </c>
      <c r="J81" s="66">
        <f t="shared" si="41"/>
        <v>745819</v>
      </c>
      <c r="K81" s="66">
        <f t="shared" si="41"/>
        <v>745819</v>
      </c>
      <c r="L81" s="66">
        <f t="shared" si="41"/>
        <v>745819</v>
      </c>
      <c r="M81" s="66">
        <f t="shared" si="41"/>
        <v>745819</v>
      </c>
      <c r="N81" s="66">
        <f t="shared" si="41"/>
        <v>745819</v>
      </c>
      <c r="O81" s="66">
        <f t="shared" si="41"/>
        <v>745819</v>
      </c>
      <c r="Q81" s="100"/>
      <c r="R81" s="39"/>
      <c r="S81" s="39"/>
    </row>
    <row r="82" spans="1:21" ht="12.6" hidden="1" customHeight="1" x14ac:dyDescent="0.25">
      <c r="A82" s="38"/>
      <c r="B82" s="39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Q82" s="100"/>
      <c r="R82" s="39"/>
      <c r="S82" s="39"/>
    </row>
    <row r="83" spans="1:21" ht="12.2" customHeight="1" x14ac:dyDescent="0.25">
      <c r="A83" s="38"/>
      <c r="B83" s="207" t="s">
        <v>16</v>
      </c>
      <c r="C83" s="62" t="s">
        <v>65</v>
      </c>
      <c r="D83" s="67">
        <f>D73/D76</f>
        <v>0.99781002899019</v>
      </c>
      <c r="E83" s="67">
        <f t="shared" ref="E83:O83" si="42">E73/E76</f>
        <v>0.99930597727075565</v>
      </c>
      <c r="F83" s="67">
        <f t="shared" si="42"/>
        <v>0.99922285283658718</v>
      </c>
      <c r="G83" s="67">
        <f t="shared" si="42"/>
        <v>0.99812126769698728</v>
      </c>
      <c r="H83" s="67">
        <f t="shared" si="42"/>
        <v>0.9997836947005202</v>
      </c>
      <c r="I83" s="67">
        <f t="shared" si="42"/>
        <v>0.99713196314196362</v>
      </c>
      <c r="J83" s="67">
        <f t="shared" si="42"/>
        <v>0.99860901263879898</v>
      </c>
      <c r="K83" s="67" t="e">
        <f t="shared" si="42"/>
        <v>#DIV/0!</v>
      </c>
      <c r="L83" s="67" t="e">
        <f t="shared" si="42"/>
        <v>#DIV/0!</v>
      </c>
      <c r="M83" s="67" t="e">
        <f t="shared" si="42"/>
        <v>#DIV/0!</v>
      </c>
      <c r="N83" s="67" t="e">
        <f t="shared" si="42"/>
        <v>#DIV/0!</v>
      </c>
      <c r="O83" s="67" t="e">
        <f t="shared" si="42"/>
        <v>#DIV/0!</v>
      </c>
    </row>
    <row r="84" spans="1:21" ht="12.2" customHeight="1" x14ac:dyDescent="0.25">
      <c r="A84" s="38"/>
      <c r="B84" s="207"/>
      <c r="C84" s="62" t="s">
        <v>66</v>
      </c>
      <c r="D84" s="68">
        <f>D74/D76</f>
        <v>2.1540698457147471E-3</v>
      </c>
      <c r="E84" s="67">
        <f t="shared" ref="E84:O84" si="43">E74/E76</f>
        <v>5.2051704693328708E-4</v>
      </c>
      <c r="F84" s="67">
        <f t="shared" si="43"/>
        <v>2.2372418340673057E-4</v>
      </c>
      <c r="G84" s="67">
        <f t="shared" si="43"/>
        <v>1.8190900076789456E-3</v>
      </c>
      <c r="H84" s="67">
        <f t="shared" si="43"/>
        <v>1.1330277591800999E-4</v>
      </c>
      <c r="I84" s="67">
        <f t="shared" si="43"/>
        <v>2.767697376122548E-3</v>
      </c>
      <c r="J84" s="67">
        <f t="shared" si="43"/>
        <v>1.2470921169388685E-3</v>
      </c>
      <c r="K84" s="67" t="e">
        <f t="shared" si="43"/>
        <v>#DIV/0!</v>
      </c>
      <c r="L84" s="92" t="e">
        <f t="shared" si="43"/>
        <v>#DIV/0!</v>
      </c>
      <c r="M84" s="92" t="e">
        <f t="shared" si="43"/>
        <v>#DIV/0!</v>
      </c>
      <c r="N84" s="70" t="e">
        <f t="shared" si="43"/>
        <v>#DIV/0!</v>
      </c>
      <c r="O84" s="70" t="e">
        <f t="shared" si="43"/>
        <v>#DIV/0!</v>
      </c>
      <c r="P84" s="104"/>
    </row>
    <row r="85" spans="1:21" ht="12.2" customHeight="1" x14ac:dyDescent="0.25">
      <c r="A85" s="38"/>
      <c r="B85" s="207"/>
      <c r="C85" s="62" t="s">
        <v>67</v>
      </c>
      <c r="D85" s="68">
        <f>D75/D76</f>
        <v>3.5901164095245788E-5</v>
      </c>
      <c r="E85" s="68">
        <f t="shared" ref="E85:O85" si="44">E75/E76</f>
        <v>1.7350568231109568E-4</v>
      </c>
      <c r="F85" s="68">
        <f t="shared" si="44"/>
        <v>5.5342298000612294E-4</v>
      </c>
      <c r="G85" s="68">
        <f t="shared" si="44"/>
        <v>5.9642295333735917E-5</v>
      </c>
      <c r="H85" s="68">
        <f t="shared" si="44"/>
        <v>1.0300252356182726E-4</v>
      </c>
      <c r="I85" s="68">
        <f t="shared" si="44"/>
        <v>1.0033948191380838E-4</v>
      </c>
      <c r="J85" s="68">
        <f t="shared" si="44"/>
        <v>1.4389524426217714E-4</v>
      </c>
      <c r="K85" s="68" t="e">
        <f t="shared" si="44"/>
        <v>#DIV/0!</v>
      </c>
      <c r="L85" s="92" t="e">
        <f t="shared" si="44"/>
        <v>#DIV/0!</v>
      </c>
      <c r="M85" s="92" t="e">
        <f t="shared" si="44"/>
        <v>#DIV/0!</v>
      </c>
      <c r="N85" s="70" t="e">
        <f t="shared" si="44"/>
        <v>#DIV/0!</v>
      </c>
      <c r="O85" s="70" t="e">
        <f t="shared" si="44"/>
        <v>#DIV/0!</v>
      </c>
      <c r="P85" s="104"/>
    </row>
    <row r="86" spans="1:21" ht="12.2" customHeight="1" x14ac:dyDescent="0.25">
      <c r="A86" s="38"/>
      <c r="B86" s="207"/>
      <c r="C86" s="62" t="s">
        <v>68</v>
      </c>
      <c r="D86" s="69">
        <f>SUM(D83:D85)</f>
        <v>1</v>
      </c>
      <c r="E86" s="69">
        <f t="shared" ref="E86:O86" si="45">SUM(E83:E85)</f>
        <v>1</v>
      </c>
      <c r="F86" s="69">
        <f t="shared" si="45"/>
        <v>1</v>
      </c>
      <c r="G86" s="69">
        <f t="shared" si="45"/>
        <v>1</v>
      </c>
      <c r="H86" s="69">
        <f t="shared" si="45"/>
        <v>1</v>
      </c>
      <c r="I86" s="69">
        <f t="shared" si="45"/>
        <v>1</v>
      </c>
      <c r="J86" s="69">
        <f t="shared" si="45"/>
        <v>1</v>
      </c>
      <c r="K86" s="69" t="e">
        <f t="shared" si="45"/>
        <v>#DIV/0!</v>
      </c>
      <c r="L86" s="92" t="e">
        <f t="shared" si="45"/>
        <v>#DIV/0!</v>
      </c>
      <c r="M86" s="92" t="e">
        <f t="shared" si="45"/>
        <v>#DIV/0!</v>
      </c>
      <c r="N86" s="69" t="e">
        <f t="shared" si="45"/>
        <v>#DIV/0!</v>
      </c>
      <c r="O86" s="69" t="e">
        <f t="shared" si="45"/>
        <v>#DIV/0!</v>
      </c>
    </row>
    <row r="87" spans="1:21" ht="12.2" customHeight="1" x14ac:dyDescent="0.25">
      <c r="A87" s="38"/>
      <c r="B87" s="39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1:21" ht="12.2" hidden="1" customHeight="1" x14ac:dyDescent="0.25">
      <c r="A88" s="38"/>
      <c r="B88" s="207" t="s">
        <v>17</v>
      </c>
      <c r="C88" s="62" t="s">
        <v>65</v>
      </c>
      <c r="D88" s="67">
        <f>D78/D81</f>
        <v>0.99781002899019</v>
      </c>
      <c r="E88" s="67">
        <f t="shared" ref="E88:O88" si="46">E78/E81</f>
        <v>0.99857071645043605</v>
      </c>
      <c r="F88" s="67">
        <f t="shared" si="46"/>
        <v>0.99874844759364978</v>
      </c>
      <c r="G88" s="67">
        <f t="shared" si="46"/>
        <v>0.99855971786622877</v>
      </c>
      <c r="H88" s="67">
        <f t="shared" si="46"/>
        <v>0.99877862539169648</v>
      </c>
      <c r="I88" s="67">
        <f t="shared" si="46"/>
        <v>0.99848133750990675</v>
      </c>
      <c r="J88" s="67">
        <f t="shared" si="46"/>
        <v>0.99849561354698657</v>
      </c>
      <c r="K88" s="67">
        <f t="shared" si="46"/>
        <v>0.99849561354698657</v>
      </c>
      <c r="L88" s="67">
        <f t="shared" si="46"/>
        <v>0.99849561354698657</v>
      </c>
      <c r="M88" s="67">
        <f t="shared" si="46"/>
        <v>0.99849561354698657</v>
      </c>
      <c r="N88" s="67">
        <f t="shared" si="46"/>
        <v>0.99849561354698657</v>
      </c>
      <c r="O88" s="67">
        <f t="shared" si="46"/>
        <v>0.99849561354698657</v>
      </c>
    </row>
    <row r="89" spans="1:21" ht="12.2" hidden="1" customHeight="1" x14ac:dyDescent="0.25">
      <c r="A89" s="38"/>
      <c r="B89" s="207"/>
      <c r="C89" s="62" t="s">
        <v>66</v>
      </c>
      <c r="D89" s="67">
        <f>D79/D81</f>
        <v>2.1540698457147471E-3</v>
      </c>
      <c r="E89" s="67">
        <f t="shared" ref="E89:O89" si="47">E79/E81</f>
        <v>1.3234106940406816E-3</v>
      </c>
      <c r="F89" s="67">
        <f t="shared" si="47"/>
        <v>1.0237056862197661E-3</v>
      </c>
      <c r="G89" s="67">
        <f t="shared" si="47"/>
        <v>1.2630511546934801E-3</v>
      </c>
      <c r="H89" s="67">
        <f t="shared" si="47"/>
        <v>1.0574193441420996E-3</v>
      </c>
      <c r="I89" s="67">
        <f t="shared" si="47"/>
        <v>1.3661923991395253E-3</v>
      </c>
      <c r="J89" s="67">
        <f t="shared" si="47"/>
        <v>1.3528751613997498E-3</v>
      </c>
      <c r="K89" s="67">
        <f t="shared" si="47"/>
        <v>1.3528751613997498E-3</v>
      </c>
      <c r="L89" s="70">
        <f t="shared" si="47"/>
        <v>1.3528751613997498E-3</v>
      </c>
      <c r="M89" s="70">
        <f t="shared" si="47"/>
        <v>1.3528751613997498E-3</v>
      </c>
      <c r="N89" s="67">
        <f t="shared" si="47"/>
        <v>1.3528751613997498E-3</v>
      </c>
      <c r="O89" s="67">
        <f t="shared" si="47"/>
        <v>1.3528751613997498E-3</v>
      </c>
    </row>
    <row r="90" spans="1:21" ht="12.2" hidden="1" customHeight="1" x14ac:dyDescent="0.25">
      <c r="A90" s="38"/>
      <c r="B90" s="207"/>
      <c r="C90" s="62" t="s">
        <v>67</v>
      </c>
      <c r="D90" s="68">
        <f>D80/D81</f>
        <v>3.5901164095245788E-5</v>
      </c>
      <c r="E90" s="68">
        <f t="shared" ref="E90:O90" si="48">E80/E81</f>
        <v>1.0587285552325453E-4</v>
      </c>
      <c r="F90" s="68">
        <f t="shared" si="48"/>
        <v>2.2784672013041819E-4</v>
      </c>
      <c r="G90" s="68">
        <f t="shared" si="48"/>
        <v>1.7723097907777074E-4</v>
      </c>
      <c r="H90" s="68">
        <f t="shared" si="48"/>
        <v>1.6395526416140567E-4</v>
      </c>
      <c r="I90" s="68">
        <f t="shared" si="48"/>
        <v>1.5247009095369288E-4</v>
      </c>
      <c r="J90" s="68">
        <f t="shared" si="48"/>
        <v>1.515112916136489E-4</v>
      </c>
      <c r="K90" s="68">
        <f t="shared" si="48"/>
        <v>1.515112916136489E-4</v>
      </c>
      <c r="L90" s="70">
        <f t="shared" si="48"/>
        <v>1.515112916136489E-4</v>
      </c>
      <c r="M90" s="70">
        <f t="shared" si="48"/>
        <v>1.515112916136489E-4</v>
      </c>
      <c r="N90" s="68">
        <f t="shared" si="48"/>
        <v>1.515112916136489E-4</v>
      </c>
      <c r="O90" s="68">
        <f t="shared" si="48"/>
        <v>1.515112916136489E-4</v>
      </c>
    </row>
    <row r="91" spans="1:21" ht="12.2" hidden="1" customHeight="1" x14ac:dyDescent="0.25">
      <c r="A91" s="38"/>
      <c r="B91" s="207"/>
      <c r="C91" s="62" t="s">
        <v>68</v>
      </c>
      <c r="D91" s="69">
        <f t="shared" ref="D91:O91" si="49">SUM(D88:D90)</f>
        <v>1</v>
      </c>
      <c r="E91" s="69">
        <f t="shared" si="49"/>
        <v>0.99999999999999989</v>
      </c>
      <c r="F91" s="69">
        <f t="shared" si="49"/>
        <v>1</v>
      </c>
      <c r="G91" s="69">
        <f t="shared" si="49"/>
        <v>1</v>
      </c>
      <c r="H91" s="69">
        <f t="shared" si="49"/>
        <v>0.99999999999999989</v>
      </c>
      <c r="I91" s="69">
        <f t="shared" si="49"/>
        <v>0.99999999999999989</v>
      </c>
      <c r="J91" s="69">
        <f t="shared" si="49"/>
        <v>0.99999999999999989</v>
      </c>
      <c r="K91" s="69">
        <f t="shared" si="49"/>
        <v>0.99999999999999989</v>
      </c>
      <c r="L91" s="69">
        <f t="shared" si="49"/>
        <v>0.99999999999999989</v>
      </c>
      <c r="M91" s="69">
        <f t="shared" si="49"/>
        <v>0.99999999999999989</v>
      </c>
      <c r="N91" s="69">
        <f t="shared" si="49"/>
        <v>0.99999999999999989</v>
      </c>
      <c r="O91" s="69">
        <f t="shared" si="49"/>
        <v>0.99999999999999989</v>
      </c>
    </row>
    <row r="92" spans="1:21" ht="12.2" hidden="1" customHeight="1" x14ac:dyDescent="0.25">
      <c r="A92" s="38"/>
      <c r="B92" s="39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1:21" ht="12.2" customHeight="1" x14ac:dyDescent="0.25">
      <c r="A93" s="38" t="s">
        <v>59</v>
      </c>
      <c r="B93" s="61" t="s">
        <v>69</v>
      </c>
      <c r="C93" s="62"/>
      <c r="D93" s="63" t="s">
        <v>4</v>
      </c>
      <c r="E93" s="63" t="s">
        <v>5</v>
      </c>
      <c r="F93" s="63" t="s">
        <v>6</v>
      </c>
      <c r="G93" s="63" t="s">
        <v>7</v>
      </c>
      <c r="H93" s="63" t="s">
        <v>38</v>
      </c>
      <c r="I93" s="63" t="s">
        <v>9</v>
      </c>
      <c r="J93" s="63" t="s">
        <v>10</v>
      </c>
      <c r="K93" s="63" t="s">
        <v>39</v>
      </c>
      <c r="L93" s="63" t="s">
        <v>12</v>
      </c>
      <c r="M93" s="63" t="s">
        <v>40</v>
      </c>
      <c r="N93" s="63" t="s">
        <v>41</v>
      </c>
      <c r="O93" s="63" t="s">
        <v>42</v>
      </c>
    </row>
    <row r="94" spans="1:21" ht="12.2" customHeight="1" x14ac:dyDescent="0.25">
      <c r="A94" s="38"/>
      <c r="B94" s="207" t="s">
        <v>16</v>
      </c>
      <c r="C94" s="62" t="s">
        <v>61</v>
      </c>
      <c r="D94" s="64">
        <v>366390</v>
      </c>
      <c r="E94" s="64">
        <v>396263</v>
      </c>
      <c r="F94" s="64">
        <v>285282</v>
      </c>
      <c r="G94" s="64">
        <v>396143</v>
      </c>
      <c r="H94" s="64">
        <v>337519</v>
      </c>
      <c r="I94" s="64">
        <v>313276</v>
      </c>
      <c r="J94" s="64">
        <v>347252</v>
      </c>
      <c r="K94" s="64"/>
      <c r="L94" s="64"/>
      <c r="M94" s="93"/>
      <c r="N94" s="64"/>
      <c r="O94" s="64"/>
      <c r="P94" s="100">
        <f>SUM(D94:O94)</f>
        <v>2442125</v>
      </c>
      <c r="Q94" s="157">
        <f>P94/P97</f>
        <v>0.99002646016360951</v>
      </c>
    </row>
    <row r="95" spans="1:21" ht="12.2" customHeight="1" x14ac:dyDescent="0.25">
      <c r="A95" s="38"/>
      <c r="B95" s="207"/>
      <c r="C95" s="62" t="s">
        <v>62</v>
      </c>
      <c r="D95" s="64">
        <v>2209</v>
      </c>
      <c r="E95" s="64">
        <v>7100</v>
      </c>
      <c r="F95" s="64">
        <v>4295</v>
      </c>
      <c r="G95" s="64">
        <v>2660</v>
      </c>
      <c r="H95" s="64">
        <v>275</v>
      </c>
      <c r="I95" s="64">
        <v>4509</v>
      </c>
      <c r="J95" s="64">
        <v>3234</v>
      </c>
      <c r="K95" s="64"/>
      <c r="L95" s="93"/>
      <c r="M95" s="64"/>
      <c r="N95" s="64"/>
      <c r="O95" s="64"/>
      <c r="P95" s="100">
        <f>SUM(D95:O95)</f>
        <v>24282</v>
      </c>
      <c r="Q95" s="157">
        <f>P95/P97</f>
        <v>9.8438132797022126E-3</v>
      </c>
    </row>
    <row r="96" spans="1:21" ht="12.2" customHeight="1" x14ac:dyDescent="0.25">
      <c r="A96" s="38"/>
      <c r="B96" s="207"/>
      <c r="C96" s="62" t="s">
        <v>63</v>
      </c>
      <c r="D96" s="64">
        <v>22</v>
      </c>
      <c r="E96" s="64">
        <v>79</v>
      </c>
      <c r="F96" s="64">
        <v>78</v>
      </c>
      <c r="G96" s="64">
        <v>0</v>
      </c>
      <c r="H96" s="64">
        <v>34</v>
      </c>
      <c r="I96" s="64">
        <v>34</v>
      </c>
      <c r="J96" s="64">
        <v>73</v>
      </c>
      <c r="K96" s="64"/>
      <c r="L96" s="64"/>
      <c r="M96" s="64"/>
      <c r="N96" s="64"/>
      <c r="O96" s="64"/>
      <c r="P96" s="100">
        <f>SUM(D96:O96)</f>
        <v>320</v>
      </c>
      <c r="Q96" s="157">
        <f>P96/P97</f>
        <v>1.2972655668827559E-4</v>
      </c>
      <c r="S96">
        <v>137702</v>
      </c>
      <c r="T96">
        <v>206</v>
      </c>
      <c r="U96">
        <v>17</v>
      </c>
    </row>
    <row r="97" spans="1:21" ht="12.2" customHeight="1" x14ac:dyDescent="0.25">
      <c r="A97" s="38"/>
      <c r="B97" s="207"/>
      <c r="C97" s="62" t="s">
        <v>64</v>
      </c>
      <c r="D97" s="66">
        <f t="shared" ref="D97:P97" si="50">SUM(D94:D96)</f>
        <v>368621</v>
      </c>
      <c r="E97" s="65">
        <f t="shared" si="50"/>
        <v>403442</v>
      </c>
      <c r="F97" s="65">
        <f t="shared" si="50"/>
        <v>289655</v>
      </c>
      <c r="G97" s="65">
        <f t="shared" si="50"/>
        <v>398803</v>
      </c>
      <c r="H97" s="65">
        <f>SUM(H94:H96)</f>
        <v>337828</v>
      </c>
      <c r="I97" s="65">
        <f>SUM(I94:I96)</f>
        <v>317819</v>
      </c>
      <c r="J97" s="65">
        <f>SUM(J94:J96)</f>
        <v>350559</v>
      </c>
      <c r="K97" s="65">
        <f t="shared" si="50"/>
        <v>0</v>
      </c>
      <c r="L97" s="65">
        <f t="shared" si="50"/>
        <v>0</v>
      </c>
      <c r="M97" s="65">
        <f t="shared" si="50"/>
        <v>0</v>
      </c>
      <c r="N97" s="65">
        <f t="shared" si="50"/>
        <v>0</v>
      </c>
      <c r="O97" s="65">
        <f t="shared" si="50"/>
        <v>0</v>
      </c>
      <c r="P97" s="65">
        <f t="shared" si="50"/>
        <v>2466727</v>
      </c>
      <c r="Q97" s="157">
        <f>SUM(Q94:Q96)</f>
        <v>1</v>
      </c>
    </row>
    <row r="98" spans="1:21" ht="12.2" hidden="1" customHeight="1" x14ac:dyDescent="0.25">
      <c r="A98" s="38"/>
      <c r="B98" s="39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spans="1:21" ht="12.2" hidden="1" customHeight="1" x14ac:dyDescent="0.25">
      <c r="A99" s="38"/>
      <c r="B99" s="207" t="s">
        <v>17</v>
      </c>
      <c r="C99" s="62" t="s">
        <v>61</v>
      </c>
      <c r="D99" s="66">
        <f>D94</f>
        <v>366390</v>
      </c>
      <c r="E99" s="66">
        <f t="shared" ref="E99:O101" si="51">D99+E94</f>
        <v>762653</v>
      </c>
      <c r="F99" s="66">
        <f t="shared" si="51"/>
        <v>1047935</v>
      </c>
      <c r="G99" s="66">
        <f t="shared" si="51"/>
        <v>1444078</v>
      </c>
      <c r="H99" s="66">
        <f t="shared" ref="H99:J100" si="52">G99+H94</f>
        <v>1781597</v>
      </c>
      <c r="I99" s="66">
        <f t="shared" si="52"/>
        <v>2094873</v>
      </c>
      <c r="J99" s="66">
        <f t="shared" si="52"/>
        <v>2442125</v>
      </c>
      <c r="K99" s="66">
        <f t="shared" si="51"/>
        <v>2442125</v>
      </c>
      <c r="L99" s="66">
        <f t="shared" si="51"/>
        <v>2442125</v>
      </c>
      <c r="M99" s="66">
        <f t="shared" si="51"/>
        <v>2442125</v>
      </c>
      <c r="N99" s="66">
        <f t="shared" si="51"/>
        <v>2442125</v>
      </c>
      <c r="O99" s="66">
        <f t="shared" si="51"/>
        <v>2442125</v>
      </c>
    </row>
    <row r="100" spans="1:21" ht="12.2" hidden="1" customHeight="1" x14ac:dyDescent="0.25">
      <c r="A100" s="38"/>
      <c r="B100" s="207"/>
      <c r="C100" s="62" t="s">
        <v>62</v>
      </c>
      <c r="D100" s="66">
        <f>D95</f>
        <v>2209</v>
      </c>
      <c r="E100" s="66">
        <f t="shared" si="51"/>
        <v>9309</v>
      </c>
      <c r="F100" s="66">
        <f t="shared" si="51"/>
        <v>13604</v>
      </c>
      <c r="G100" s="66">
        <f t="shared" si="51"/>
        <v>16264</v>
      </c>
      <c r="H100" s="66">
        <f t="shared" si="52"/>
        <v>16539</v>
      </c>
      <c r="I100" s="66">
        <f t="shared" si="52"/>
        <v>21048</v>
      </c>
      <c r="J100" s="66">
        <f t="shared" si="52"/>
        <v>24282</v>
      </c>
      <c r="K100" s="66">
        <f t="shared" si="51"/>
        <v>24282</v>
      </c>
      <c r="L100" s="66">
        <f t="shared" si="51"/>
        <v>24282</v>
      </c>
      <c r="M100" s="66">
        <f t="shared" si="51"/>
        <v>24282</v>
      </c>
      <c r="N100" s="66">
        <f t="shared" si="51"/>
        <v>24282</v>
      </c>
      <c r="O100" s="66">
        <f t="shared" si="51"/>
        <v>24282</v>
      </c>
    </row>
    <row r="101" spans="1:21" ht="12.2" hidden="1" customHeight="1" x14ac:dyDescent="0.25">
      <c r="A101" s="38"/>
      <c r="B101" s="207"/>
      <c r="C101" s="62" t="s">
        <v>63</v>
      </c>
      <c r="D101" s="66">
        <f>D96</f>
        <v>22</v>
      </c>
      <c r="E101" s="66">
        <f t="shared" si="51"/>
        <v>101</v>
      </c>
      <c r="F101" s="66">
        <f t="shared" si="51"/>
        <v>179</v>
      </c>
      <c r="G101" s="66">
        <f t="shared" si="51"/>
        <v>179</v>
      </c>
      <c r="H101" s="66">
        <f t="shared" si="51"/>
        <v>213</v>
      </c>
      <c r="I101" s="66">
        <f t="shared" si="51"/>
        <v>247</v>
      </c>
      <c r="J101" s="66">
        <f t="shared" si="51"/>
        <v>320</v>
      </c>
      <c r="K101" s="66">
        <f t="shared" si="51"/>
        <v>320</v>
      </c>
      <c r="L101" s="66">
        <f t="shared" si="51"/>
        <v>320</v>
      </c>
      <c r="M101" s="66">
        <f t="shared" si="51"/>
        <v>320</v>
      </c>
      <c r="N101" s="66">
        <f t="shared" si="51"/>
        <v>320</v>
      </c>
      <c r="O101" s="66">
        <f t="shared" si="51"/>
        <v>320</v>
      </c>
    </row>
    <row r="102" spans="1:21" ht="12.2" hidden="1" customHeight="1" x14ac:dyDescent="0.25">
      <c r="A102" s="38"/>
      <c r="B102" s="207"/>
      <c r="C102" s="62" t="s">
        <v>64</v>
      </c>
      <c r="D102" s="66">
        <f t="shared" ref="D102:O102" si="53">SUM(D99:D101)</f>
        <v>368621</v>
      </c>
      <c r="E102" s="66">
        <f t="shared" si="53"/>
        <v>772063</v>
      </c>
      <c r="F102" s="66">
        <f t="shared" si="53"/>
        <v>1061718</v>
      </c>
      <c r="G102" s="66">
        <f t="shared" si="53"/>
        <v>1460521</v>
      </c>
      <c r="H102" s="66">
        <f t="shared" si="53"/>
        <v>1798349</v>
      </c>
      <c r="I102" s="66">
        <f t="shared" si="53"/>
        <v>2116168</v>
      </c>
      <c r="J102" s="66">
        <f t="shared" si="53"/>
        <v>2466727</v>
      </c>
      <c r="K102" s="66">
        <f t="shared" si="53"/>
        <v>2466727</v>
      </c>
      <c r="L102" s="66">
        <f t="shared" si="53"/>
        <v>2466727</v>
      </c>
      <c r="M102" s="66">
        <f t="shared" si="53"/>
        <v>2466727</v>
      </c>
      <c r="N102" s="66">
        <f t="shared" si="53"/>
        <v>2466727</v>
      </c>
      <c r="O102" s="66">
        <f t="shared" si="53"/>
        <v>2466727</v>
      </c>
    </row>
    <row r="103" spans="1:21" ht="12.2" customHeight="1" x14ac:dyDescent="0.25">
      <c r="A103" s="38"/>
      <c r="B103" s="39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1:21" ht="12.2" customHeight="1" x14ac:dyDescent="0.25">
      <c r="A104" s="38"/>
      <c r="B104" s="207" t="s">
        <v>16</v>
      </c>
      <c r="C104" s="62" t="s">
        <v>65</v>
      </c>
      <c r="D104" s="67">
        <f>D94/D97</f>
        <v>0.99394771323391773</v>
      </c>
      <c r="E104" s="67">
        <f t="shared" ref="E104:O104" si="54">E94/E97</f>
        <v>0.98220562063444061</v>
      </c>
      <c r="F104" s="67">
        <f t="shared" si="54"/>
        <v>0.98490272910876731</v>
      </c>
      <c r="G104" s="67">
        <f t="shared" si="54"/>
        <v>0.99333004014513426</v>
      </c>
      <c r="H104" s="67">
        <f>H94/H97</f>
        <v>0.99908533336490757</v>
      </c>
      <c r="I104" s="67">
        <f>I94/I97</f>
        <v>0.98570570041438677</v>
      </c>
      <c r="J104" s="67">
        <f>J94/J97</f>
        <v>0.99056649522619589</v>
      </c>
      <c r="K104" s="67" t="e">
        <f t="shared" si="54"/>
        <v>#DIV/0!</v>
      </c>
      <c r="L104" s="67" t="e">
        <f t="shared" si="54"/>
        <v>#DIV/0!</v>
      </c>
      <c r="M104" s="67" t="e">
        <f t="shared" si="54"/>
        <v>#DIV/0!</v>
      </c>
      <c r="N104" s="67" t="e">
        <f t="shared" si="54"/>
        <v>#DIV/0!</v>
      </c>
      <c r="O104" s="67" t="e">
        <f t="shared" si="54"/>
        <v>#DIV/0!</v>
      </c>
      <c r="S104">
        <v>28780</v>
      </c>
      <c r="T104">
        <v>14514</v>
      </c>
      <c r="U104">
        <v>104</v>
      </c>
    </row>
    <row r="105" spans="1:21" ht="12.2" customHeight="1" x14ac:dyDescent="0.25">
      <c r="A105" s="38"/>
      <c r="B105" s="207"/>
      <c r="C105" s="62" t="s">
        <v>66</v>
      </c>
      <c r="D105" s="68">
        <f>D95/D97</f>
        <v>5.9926048705852353E-3</v>
      </c>
      <c r="E105" s="67">
        <f t="shared" ref="E105:O105" si="55">E95/E97</f>
        <v>1.75985643537361E-2</v>
      </c>
      <c r="F105" s="68">
        <f t="shared" si="55"/>
        <v>1.4827985016657748E-2</v>
      </c>
      <c r="G105" s="67">
        <f t="shared" si="55"/>
        <v>6.6699598548656857E-3</v>
      </c>
      <c r="H105" s="67">
        <f>H95/H97</f>
        <v>8.1402370437027129E-4</v>
      </c>
      <c r="I105" s="67">
        <f>I95/I97</f>
        <v>1.4187320455982809E-2</v>
      </c>
      <c r="J105" s="67">
        <f>J95/J97</f>
        <v>9.2252659324108064E-3</v>
      </c>
      <c r="K105" s="67" t="e">
        <f t="shared" si="55"/>
        <v>#DIV/0!</v>
      </c>
      <c r="L105" s="92" t="e">
        <f t="shared" si="55"/>
        <v>#DIV/0!</v>
      </c>
      <c r="M105" s="92" t="e">
        <f t="shared" si="55"/>
        <v>#DIV/0!</v>
      </c>
      <c r="N105" s="70" t="e">
        <f t="shared" si="55"/>
        <v>#DIV/0!</v>
      </c>
      <c r="O105" s="70" t="e">
        <f t="shared" si="55"/>
        <v>#DIV/0!</v>
      </c>
      <c r="P105" s="104"/>
      <c r="S105">
        <v>28780</v>
      </c>
    </row>
    <row r="106" spans="1:21" ht="12.2" customHeight="1" x14ac:dyDescent="0.25">
      <c r="A106" s="38"/>
      <c r="B106" s="207"/>
      <c r="C106" s="62" t="s">
        <v>67</v>
      </c>
      <c r="D106" s="68">
        <f>D96/D97</f>
        <v>5.9681895497000988E-5</v>
      </c>
      <c r="E106" s="70">
        <f t="shared" ref="E106:O106" si="56">E96/E97</f>
        <v>1.9581501182326083E-4</v>
      </c>
      <c r="F106" s="70">
        <f t="shared" si="56"/>
        <v>2.6928587457492536E-4</v>
      </c>
      <c r="G106" s="68">
        <f t="shared" si="56"/>
        <v>0</v>
      </c>
      <c r="H106" s="68">
        <f t="shared" si="56"/>
        <v>1.0064293072214263E-4</v>
      </c>
      <c r="I106" s="68">
        <f t="shared" si="56"/>
        <v>1.0697912963038711E-4</v>
      </c>
      <c r="J106" s="68">
        <f t="shared" si="56"/>
        <v>2.0823884139331753E-4</v>
      </c>
      <c r="K106" s="68" t="e">
        <f t="shared" si="56"/>
        <v>#DIV/0!</v>
      </c>
      <c r="L106" s="92" t="e">
        <f t="shared" si="56"/>
        <v>#DIV/0!</v>
      </c>
      <c r="M106" s="92" t="e">
        <f t="shared" si="56"/>
        <v>#DIV/0!</v>
      </c>
      <c r="N106" s="70" t="e">
        <f t="shared" si="56"/>
        <v>#DIV/0!</v>
      </c>
      <c r="O106" s="105" t="e">
        <f t="shared" si="56"/>
        <v>#DIV/0!</v>
      </c>
      <c r="P106" s="106"/>
      <c r="S106">
        <v>14514</v>
      </c>
    </row>
    <row r="107" spans="1:21" ht="12.2" customHeight="1" x14ac:dyDescent="0.25">
      <c r="A107" s="38"/>
      <c r="B107" s="207"/>
      <c r="C107" s="62" t="s">
        <v>68</v>
      </c>
      <c r="D107" s="69">
        <f t="shared" ref="D107:O107" si="57">SUM(D104:D106)</f>
        <v>1</v>
      </c>
      <c r="E107" s="69">
        <f t="shared" si="57"/>
        <v>1</v>
      </c>
      <c r="F107" s="69">
        <f t="shared" si="57"/>
        <v>1</v>
      </c>
      <c r="G107" s="69">
        <f t="shared" si="57"/>
        <v>1</v>
      </c>
      <c r="H107" s="69">
        <f t="shared" si="57"/>
        <v>0.99999999999999989</v>
      </c>
      <c r="I107" s="69">
        <f t="shared" si="57"/>
        <v>1</v>
      </c>
      <c r="J107" s="69">
        <f t="shared" si="57"/>
        <v>1</v>
      </c>
      <c r="K107" s="69" t="e">
        <f t="shared" si="57"/>
        <v>#DIV/0!</v>
      </c>
      <c r="L107" s="92" t="e">
        <f t="shared" si="57"/>
        <v>#DIV/0!</v>
      </c>
      <c r="M107" s="92" t="e">
        <f t="shared" si="57"/>
        <v>#DIV/0!</v>
      </c>
      <c r="N107" s="69" t="e">
        <f t="shared" si="57"/>
        <v>#DIV/0!</v>
      </c>
      <c r="O107" s="69" t="e">
        <f t="shared" si="57"/>
        <v>#DIV/0!</v>
      </c>
      <c r="S107">
        <v>104</v>
      </c>
    </row>
    <row r="108" spans="1:21" ht="12.2" customHeight="1" x14ac:dyDescent="0.25">
      <c r="A108" s="38"/>
      <c r="B108" s="39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1:21" ht="12.2" hidden="1" customHeight="1" x14ac:dyDescent="0.25">
      <c r="A109" s="38"/>
      <c r="B109" s="207" t="s">
        <v>17</v>
      </c>
      <c r="C109" s="62" t="s">
        <v>65</v>
      </c>
      <c r="D109" s="67">
        <f>D99/D102</f>
        <v>0.99394771323391773</v>
      </c>
      <c r="E109" s="67">
        <f t="shared" ref="E109:O109" si="58">E99/E102</f>
        <v>0.98781187545575944</v>
      </c>
      <c r="F109" s="67">
        <f t="shared" si="58"/>
        <v>0.9870182101085222</v>
      </c>
      <c r="G109" s="67">
        <f t="shared" si="58"/>
        <v>0.98874168875353385</v>
      </c>
      <c r="H109" s="67">
        <f t="shared" si="58"/>
        <v>0.9906847892149967</v>
      </c>
      <c r="I109" s="67">
        <f t="shared" si="58"/>
        <v>0.98993699933086599</v>
      </c>
      <c r="J109" s="67">
        <f t="shared" si="58"/>
        <v>0.99002646016360951</v>
      </c>
      <c r="K109" s="67">
        <f t="shared" si="58"/>
        <v>0.99002646016360951</v>
      </c>
      <c r="L109" s="67">
        <f t="shared" si="58"/>
        <v>0.99002646016360951</v>
      </c>
      <c r="M109" s="67">
        <f t="shared" si="58"/>
        <v>0.99002646016360951</v>
      </c>
      <c r="N109" s="67">
        <f t="shared" si="58"/>
        <v>0.99002646016360951</v>
      </c>
      <c r="O109" s="67">
        <f t="shared" si="58"/>
        <v>0.99002646016360951</v>
      </c>
    </row>
    <row r="110" spans="1:21" ht="12.2" hidden="1" customHeight="1" x14ac:dyDescent="0.25">
      <c r="A110" s="38"/>
      <c r="B110" s="207"/>
      <c r="C110" s="62" t="s">
        <v>66</v>
      </c>
      <c r="D110" s="67">
        <f>D100/D102</f>
        <v>5.9926048705852353E-3</v>
      </c>
      <c r="E110" s="67">
        <f t="shared" ref="E110:O110" si="59">E100/E102</f>
        <v>1.2057306204286437E-2</v>
      </c>
      <c r="F110" s="67">
        <f t="shared" si="59"/>
        <v>1.281319521756248E-2</v>
      </c>
      <c r="G110" s="67">
        <f t="shared" si="59"/>
        <v>1.1135752241836988E-2</v>
      </c>
      <c r="H110" s="67">
        <f t="shared" si="59"/>
        <v>9.1967688140622318E-3</v>
      </c>
      <c r="I110" s="67">
        <f t="shared" si="59"/>
        <v>9.946280257522087E-3</v>
      </c>
      <c r="J110" s="67">
        <f t="shared" si="59"/>
        <v>9.8438132797022126E-3</v>
      </c>
      <c r="K110" s="67">
        <f t="shared" si="59"/>
        <v>9.8438132797022126E-3</v>
      </c>
      <c r="L110" s="67">
        <f t="shared" si="59"/>
        <v>9.8438132797022126E-3</v>
      </c>
      <c r="M110" s="67">
        <f t="shared" si="59"/>
        <v>9.8438132797022126E-3</v>
      </c>
      <c r="N110" s="67">
        <f t="shared" si="59"/>
        <v>9.8438132797022126E-3</v>
      </c>
      <c r="O110" s="67">
        <f t="shared" si="59"/>
        <v>9.8438132797022126E-3</v>
      </c>
    </row>
    <row r="111" spans="1:21" ht="12.2" hidden="1" customHeight="1" x14ac:dyDescent="0.25">
      <c r="A111" s="38"/>
      <c r="B111" s="207"/>
      <c r="C111" s="62" t="s">
        <v>67</v>
      </c>
      <c r="D111" s="68">
        <f>D101/D102</f>
        <v>5.9681895497000988E-5</v>
      </c>
      <c r="E111" s="68">
        <f t="shared" ref="E111:O111" si="60">E101/E102</f>
        <v>1.3081833995412292E-4</v>
      </c>
      <c r="F111" s="68">
        <f t="shared" si="60"/>
        <v>1.6859467391529577E-4</v>
      </c>
      <c r="G111" s="68">
        <f t="shared" si="60"/>
        <v>1.2255900462916999E-4</v>
      </c>
      <c r="H111" s="68">
        <f t="shared" si="60"/>
        <v>1.1844197094112433E-4</v>
      </c>
      <c r="I111" s="68">
        <f t="shared" si="60"/>
        <v>1.1672041161193251E-4</v>
      </c>
      <c r="J111" s="68">
        <f t="shared" si="60"/>
        <v>1.2972655668827559E-4</v>
      </c>
      <c r="K111" s="68">
        <f t="shared" si="60"/>
        <v>1.2972655668827559E-4</v>
      </c>
      <c r="L111" s="68">
        <f t="shared" si="60"/>
        <v>1.2972655668827559E-4</v>
      </c>
      <c r="M111" s="68">
        <f t="shared" si="60"/>
        <v>1.2972655668827559E-4</v>
      </c>
      <c r="N111" s="68">
        <f t="shared" si="60"/>
        <v>1.2972655668827559E-4</v>
      </c>
      <c r="O111" s="68">
        <f t="shared" si="60"/>
        <v>1.2972655668827559E-4</v>
      </c>
    </row>
    <row r="112" spans="1:21" ht="12.2" hidden="1" customHeight="1" x14ac:dyDescent="0.25">
      <c r="A112" s="38"/>
      <c r="B112" s="207"/>
      <c r="C112" s="62" t="s">
        <v>68</v>
      </c>
      <c r="D112" s="69">
        <f t="shared" ref="D112:O112" si="61">SUM(D109:D111)</f>
        <v>1</v>
      </c>
      <c r="E112" s="69">
        <f t="shared" si="61"/>
        <v>1</v>
      </c>
      <c r="F112" s="69">
        <f t="shared" si="61"/>
        <v>1</v>
      </c>
      <c r="G112" s="69">
        <f t="shared" si="61"/>
        <v>1</v>
      </c>
      <c r="H112" s="69">
        <f t="shared" si="61"/>
        <v>1</v>
      </c>
      <c r="I112" s="69">
        <f t="shared" si="61"/>
        <v>1</v>
      </c>
      <c r="J112" s="69">
        <f t="shared" si="61"/>
        <v>1</v>
      </c>
      <c r="K112" s="69">
        <f t="shared" si="61"/>
        <v>1</v>
      </c>
      <c r="L112" s="69">
        <f t="shared" si="61"/>
        <v>1</v>
      </c>
      <c r="M112" s="69">
        <f t="shared" si="61"/>
        <v>1</v>
      </c>
      <c r="N112" s="69">
        <f t="shared" si="61"/>
        <v>1</v>
      </c>
      <c r="O112" s="69">
        <f t="shared" si="61"/>
        <v>1</v>
      </c>
    </row>
    <row r="113" spans="1:24" ht="12.2" hidden="1" customHeight="1" x14ac:dyDescent="0.25">
      <c r="A113" s="38"/>
      <c r="B113" s="39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spans="1:24" ht="12.2" customHeight="1" x14ac:dyDescent="0.25">
      <c r="A114" s="38" t="s">
        <v>59</v>
      </c>
      <c r="B114" s="61" t="s">
        <v>70</v>
      </c>
      <c r="C114" s="62"/>
      <c r="D114" s="63" t="s">
        <v>4</v>
      </c>
      <c r="E114" s="63" t="s">
        <v>5</v>
      </c>
      <c r="F114" s="63" t="s">
        <v>6</v>
      </c>
      <c r="G114" s="63" t="s">
        <v>7</v>
      </c>
      <c r="H114" s="63" t="s">
        <v>38</v>
      </c>
      <c r="I114" s="63" t="s">
        <v>9</v>
      </c>
      <c r="J114" s="63" t="s">
        <v>10</v>
      </c>
      <c r="K114" s="63" t="s">
        <v>39</v>
      </c>
      <c r="L114" s="63" t="s">
        <v>12</v>
      </c>
      <c r="M114" s="63" t="s">
        <v>40</v>
      </c>
      <c r="N114" s="63" t="s">
        <v>41</v>
      </c>
      <c r="O114" s="63" t="s">
        <v>42</v>
      </c>
    </row>
    <row r="115" spans="1:24" ht="12.2" customHeight="1" x14ac:dyDescent="0.25">
      <c r="A115" s="38"/>
      <c r="B115" s="207" t="s">
        <v>16</v>
      </c>
      <c r="C115" s="62" t="s">
        <v>61</v>
      </c>
      <c r="D115" s="64">
        <v>41472</v>
      </c>
      <c r="E115" s="64">
        <v>40093</v>
      </c>
      <c r="F115" s="64">
        <v>27864</v>
      </c>
      <c r="G115" s="64">
        <v>40017</v>
      </c>
      <c r="H115" s="64">
        <v>32567</v>
      </c>
      <c r="I115" s="64">
        <v>41535</v>
      </c>
      <c r="J115" s="64">
        <v>23197</v>
      </c>
      <c r="K115" s="64"/>
      <c r="L115" s="64"/>
      <c r="M115" s="64"/>
      <c r="N115" s="64"/>
      <c r="O115" s="64"/>
      <c r="P115" s="100">
        <f>SUM(D115:O115)</f>
        <v>246745</v>
      </c>
      <c r="Q115" s="157">
        <f>P115/P118</f>
        <v>0.96258801958374784</v>
      </c>
    </row>
    <row r="116" spans="1:24" ht="12.2" customHeight="1" x14ac:dyDescent="0.25">
      <c r="A116" s="38"/>
      <c r="B116" s="207"/>
      <c r="C116" s="62" t="s">
        <v>62</v>
      </c>
      <c r="D116" s="64">
        <v>1622</v>
      </c>
      <c r="E116" s="64">
        <v>1500</v>
      </c>
      <c r="F116" s="64">
        <v>950</v>
      </c>
      <c r="G116" s="64">
        <v>1602</v>
      </c>
      <c r="H116" s="64">
        <v>1024</v>
      </c>
      <c r="I116" s="64">
        <v>1765</v>
      </c>
      <c r="J116" s="64">
        <v>894</v>
      </c>
      <c r="K116" s="64"/>
      <c r="L116" s="64"/>
      <c r="M116" s="64"/>
      <c r="N116" s="64"/>
      <c r="O116" s="64"/>
      <c r="P116" s="100">
        <f>SUM(D116:O116)</f>
        <v>9357</v>
      </c>
      <c r="Q116" s="157">
        <f>P116/P118</f>
        <v>3.6503013634501723E-2</v>
      </c>
      <c r="W116">
        <v>81995</v>
      </c>
      <c r="X116">
        <v>606486</v>
      </c>
    </row>
    <row r="117" spans="1:24" ht="12.2" customHeight="1" x14ac:dyDescent="0.25">
      <c r="A117" s="38"/>
      <c r="B117" s="207"/>
      <c r="C117" s="62" t="s">
        <v>63</v>
      </c>
      <c r="D117" s="64">
        <v>104</v>
      </c>
      <c r="E117" s="64">
        <v>84</v>
      </c>
      <c r="F117" s="64">
        <v>15</v>
      </c>
      <c r="G117" s="64">
        <v>6</v>
      </c>
      <c r="H117" s="64">
        <v>8</v>
      </c>
      <c r="I117" s="64">
        <v>10</v>
      </c>
      <c r="J117" s="64">
        <v>6</v>
      </c>
      <c r="K117" s="64"/>
      <c r="L117" s="64"/>
      <c r="M117" s="64"/>
      <c r="N117" s="64"/>
      <c r="O117" s="64"/>
      <c r="P117" s="100">
        <f>SUM(D117:O117)</f>
        <v>233</v>
      </c>
      <c r="Q117" s="157">
        <f>P117/P118</f>
        <v>9.0896678175044377E-4</v>
      </c>
    </row>
    <row r="118" spans="1:24" ht="12.2" customHeight="1" x14ac:dyDescent="0.25">
      <c r="A118" s="38"/>
      <c r="B118" s="207"/>
      <c r="C118" s="62" t="s">
        <v>64</v>
      </c>
      <c r="D118" s="66">
        <f t="shared" ref="D118:P118" si="62">SUM(D115:D117)</f>
        <v>43198</v>
      </c>
      <c r="E118" s="65">
        <f t="shared" si="62"/>
        <v>41677</v>
      </c>
      <c r="F118" s="65">
        <f t="shared" si="62"/>
        <v>28829</v>
      </c>
      <c r="G118" s="65">
        <f t="shared" si="62"/>
        <v>41625</v>
      </c>
      <c r="H118" s="65">
        <f t="shared" si="62"/>
        <v>33599</v>
      </c>
      <c r="I118" s="65">
        <f t="shared" si="62"/>
        <v>43310</v>
      </c>
      <c r="J118" s="65">
        <f t="shared" si="62"/>
        <v>24097</v>
      </c>
      <c r="K118" s="65">
        <f t="shared" si="62"/>
        <v>0</v>
      </c>
      <c r="L118" s="65">
        <f t="shared" si="62"/>
        <v>0</v>
      </c>
      <c r="M118" s="65">
        <f t="shared" si="62"/>
        <v>0</v>
      </c>
      <c r="N118" s="65">
        <f t="shared" si="62"/>
        <v>0</v>
      </c>
      <c r="O118" s="65">
        <f t="shared" si="62"/>
        <v>0</v>
      </c>
      <c r="P118" s="65">
        <f t="shared" si="62"/>
        <v>256335</v>
      </c>
      <c r="Q118" s="157">
        <f>SUM(Q115:Q117)</f>
        <v>1</v>
      </c>
    </row>
    <row r="119" spans="1:24" ht="12.2" hidden="1" customHeight="1" x14ac:dyDescent="0.25">
      <c r="A119" s="38"/>
      <c r="B119" s="39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24" ht="12.2" hidden="1" customHeight="1" x14ac:dyDescent="0.25">
      <c r="A120" s="38"/>
      <c r="B120" s="207" t="s">
        <v>17</v>
      </c>
      <c r="C120" s="62" t="s">
        <v>61</v>
      </c>
      <c r="D120" s="66">
        <f>D115</f>
        <v>41472</v>
      </c>
      <c r="E120" s="66">
        <f t="shared" ref="E120:O122" si="63">D120+E115</f>
        <v>81565</v>
      </c>
      <c r="F120" s="66">
        <f t="shared" si="63"/>
        <v>109429</v>
      </c>
      <c r="G120" s="66">
        <f t="shared" si="63"/>
        <v>149446</v>
      </c>
      <c r="H120" s="66">
        <f t="shared" si="63"/>
        <v>182013</v>
      </c>
      <c r="I120" s="66">
        <f t="shared" si="63"/>
        <v>223548</v>
      </c>
      <c r="J120" s="66">
        <f t="shared" si="63"/>
        <v>246745</v>
      </c>
      <c r="K120" s="66">
        <f t="shared" si="63"/>
        <v>246745</v>
      </c>
      <c r="L120" s="66">
        <f t="shared" si="63"/>
        <v>246745</v>
      </c>
      <c r="M120" s="66">
        <f t="shared" si="63"/>
        <v>246745</v>
      </c>
      <c r="N120" s="66">
        <f t="shared" si="63"/>
        <v>246745</v>
      </c>
      <c r="O120" s="66">
        <f t="shared" si="63"/>
        <v>246745</v>
      </c>
    </row>
    <row r="121" spans="1:24" ht="12.2" hidden="1" customHeight="1" x14ac:dyDescent="0.25">
      <c r="A121" s="38"/>
      <c r="B121" s="207"/>
      <c r="C121" s="62" t="s">
        <v>62</v>
      </c>
      <c r="D121" s="66">
        <f>D116</f>
        <v>1622</v>
      </c>
      <c r="E121" s="66">
        <f t="shared" si="63"/>
        <v>3122</v>
      </c>
      <c r="F121" s="66">
        <f t="shared" si="63"/>
        <v>4072</v>
      </c>
      <c r="G121" s="66">
        <f t="shared" si="63"/>
        <v>5674</v>
      </c>
      <c r="H121" s="66">
        <f t="shared" si="63"/>
        <v>6698</v>
      </c>
      <c r="I121" s="66">
        <f t="shared" si="63"/>
        <v>8463</v>
      </c>
      <c r="J121" s="66">
        <f t="shared" si="63"/>
        <v>9357</v>
      </c>
      <c r="K121" s="66">
        <f t="shared" si="63"/>
        <v>9357</v>
      </c>
      <c r="L121" s="66">
        <f t="shared" si="63"/>
        <v>9357</v>
      </c>
      <c r="M121" s="66">
        <f t="shared" si="63"/>
        <v>9357</v>
      </c>
      <c r="N121" s="66">
        <f t="shared" si="63"/>
        <v>9357</v>
      </c>
      <c r="O121" s="66">
        <f t="shared" si="63"/>
        <v>9357</v>
      </c>
    </row>
    <row r="122" spans="1:24" ht="12.2" hidden="1" customHeight="1" x14ac:dyDescent="0.25">
      <c r="A122" s="38"/>
      <c r="B122" s="207"/>
      <c r="C122" s="62" t="s">
        <v>63</v>
      </c>
      <c r="D122" s="66">
        <f>D117</f>
        <v>104</v>
      </c>
      <c r="E122" s="66">
        <f t="shared" si="63"/>
        <v>188</v>
      </c>
      <c r="F122" s="66">
        <f t="shared" si="63"/>
        <v>203</v>
      </c>
      <c r="G122" s="66">
        <f t="shared" si="63"/>
        <v>209</v>
      </c>
      <c r="H122" s="66">
        <f t="shared" si="63"/>
        <v>217</v>
      </c>
      <c r="I122" s="66">
        <f t="shared" si="63"/>
        <v>227</v>
      </c>
      <c r="J122" s="66">
        <f t="shared" si="63"/>
        <v>233</v>
      </c>
      <c r="K122" s="66">
        <f t="shared" si="63"/>
        <v>233</v>
      </c>
      <c r="L122" s="66">
        <f t="shared" si="63"/>
        <v>233</v>
      </c>
      <c r="M122" s="66">
        <f t="shared" si="63"/>
        <v>233</v>
      </c>
      <c r="N122" s="66">
        <f t="shared" si="63"/>
        <v>233</v>
      </c>
      <c r="O122" s="66">
        <f t="shared" si="63"/>
        <v>233</v>
      </c>
    </row>
    <row r="123" spans="1:24" ht="12.2" hidden="1" customHeight="1" x14ac:dyDescent="0.25">
      <c r="A123" s="38"/>
      <c r="B123" s="207"/>
      <c r="C123" s="62" t="s">
        <v>64</v>
      </c>
      <c r="D123" s="66">
        <f t="shared" ref="D123:O123" si="64">SUM(D120:D122)</f>
        <v>43198</v>
      </c>
      <c r="E123" s="66">
        <f t="shared" si="64"/>
        <v>84875</v>
      </c>
      <c r="F123" s="66">
        <f t="shared" si="64"/>
        <v>113704</v>
      </c>
      <c r="G123" s="66">
        <f t="shared" si="64"/>
        <v>155329</v>
      </c>
      <c r="H123" s="66">
        <f t="shared" si="64"/>
        <v>188928</v>
      </c>
      <c r="I123" s="66">
        <f t="shared" si="64"/>
        <v>232238</v>
      </c>
      <c r="J123" s="66">
        <f t="shared" si="64"/>
        <v>256335</v>
      </c>
      <c r="K123" s="66">
        <f t="shared" si="64"/>
        <v>256335</v>
      </c>
      <c r="L123" s="66">
        <f t="shared" si="64"/>
        <v>256335</v>
      </c>
      <c r="M123" s="66">
        <f t="shared" si="64"/>
        <v>256335</v>
      </c>
      <c r="N123" s="66">
        <f t="shared" si="64"/>
        <v>256335</v>
      </c>
      <c r="O123" s="66">
        <f t="shared" si="64"/>
        <v>256335</v>
      </c>
    </row>
    <row r="124" spans="1:24" ht="12.2" customHeight="1" x14ac:dyDescent="0.25">
      <c r="A124" s="38"/>
      <c r="B124" s="39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spans="1:24" ht="12.2" customHeight="1" x14ac:dyDescent="0.25">
      <c r="A125" s="38"/>
      <c r="B125" s="207" t="s">
        <v>16</v>
      </c>
      <c r="C125" s="62" t="s">
        <v>65</v>
      </c>
      <c r="D125" s="67">
        <f>D115/D118</f>
        <v>0.96004444650215293</v>
      </c>
      <c r="E125" s="67">
        <f t="shared" ref="E125:O125" si="65">E115/E118</f>
        <v>0.96199342563044365</v>
      </c>
      <c r="F125" s="67">
        <f t="shared" si="65"/>
        <v>0.96652676124735515</v>
      </c>
      <c r="G125" s="67">
        <f t="shared" si="65"/>
        <v>0.96136936936936934</v>
      </c>
      <c r="H125" s="67">
        <f t="shared" si="65"/>
        <v>0.96928480014286145</v>
      </c>
      <c r="I125" s="67">
        <f t="shared" si="65"/>
        <v>0.95901639344262291</v>
      </c>
      <c r="J125" s="67">
        <f t="shared" si="65"/>
        <v>0.96265095240071374</v>
      </c>
      <c r="K125" s="67" t="e">
        <f t="shared" si="65"/>
        <v>#DIV/0!</v>
      </c>
      <c r="L125" s="92" t="e">
        <f t="shared" si="65"/>
        <v>#DIV/0!</v>
      </c>
      <c r="M125" s="92" t="e">
        <f t="shared" si="65"/>
        <v>#DIV/0!</v>
      </c>
      <c r="N125" s="67" t="e">
        <f t="shared" si="65"/>
        <v>#DIV/0!</v>
      </c>
      <c r="O125" s="67" t="e">
        <f t="shared" si="65"/>
        <v>#DIV/0!</v>
      </c>
    </row>
    <row r="126" spans="1:24" ht="12.2" customHeight="1" x14ac:dyDescent="0.25">
      <c r="A126" s="38"/>
      <c r="B126" s="207"/>
      <c r="C126" s="62" t="s">
        <v>66</v>
      </c>
      <c r="D126" s="67">
        <f>D116/D118</f>
        <v>3.7548034631232928E-2</v>
      </c>
      <c r="E126" s="67">
        <f t="shared" ref="E126:O126" si="66">E116/E118</f>
        <v>3.5991074213595028E-2</v>
      </c>
      <c r="F126" s="67">
        <f t="shared" si="66"/>
        <v>3.2952929341982032E-2</v>
      </c>
      <c r="G126" s="67">
        <f t="shared" si="66"/>
        <v>3.8486486486486483E-2</v>
      </c>
      <c r="H126" s="67">
        <f t="shared" si="66"/>
        <v>3.0477097532664664E-2</v>
      </c>
      <c r="I126" s="67">
        <f t="shared" si="66"/>
        <v>4.0752712999307321E-2</v>
      </c>
      <c r="J126" s="67">
        <f t="shared" si="66"/>
        <v>3.7100053948624312E-2</v>
      </c>
      <c r="K126" s="67" t="e">
        <f t="shared" si="66"/>
        <v>#DIV/0!</v>
      </c>
      <c r="L126" s="92" t="e">
        <f t="shared" si="66"/>
        <v>#DIV/0!</v>
      </c>
      <c r="M126" s="92" t="e">
        <f t="shared" si="66"/>
        <v>#DIV/0!</v>
      </c>
      <c r="N126" s="67" t="e">
        <f t="shared" si="66"/>
        <v>#DIV/0!</v>
      </c>
      <c r="O126" s="70" t="e">
        <f t="shared" si="66"/>
        <v>#DIV/0!</v>
      </c>
      <c r="P126" s="104"/>
    </row>
    <row r="127" spans="1:24" ht="12.2" customHeight="1" x14ac:dyDescent="0.25">
      <c r="A127" s="38"/>
      <c r="B127" s="207"/>
      <c r="C127" s="62" t="s">
        <v>67</v>
      </c>
      <c r="D127" s="68">
        <f>D117/D118</f>
        <v>2.4075188666141949E-3</v>
      </c>
      <c r="E127" s="68">
        <f t="shared" ref="E127:O127" si="67">E117/E118</f>
        <v>2.0155001559613215E-3</v>
      </c>
      <c r="F127" s="68">
        <f t="shared" si="67"/>
        <v>5.203094106628742E-4</v>
      </c>
      <c r="G127" s="68">
        <f t="shared" si="67"/>
        <v>1.4414414414414415E-4</v>
      </c>
      <c r="H127" s="68">
        <f t="shared" si="67"/>
        <v>2.3810232447394269E-4</v>
      </c>
      <c r="I127" s="68">
        <f t="shared" si="67"/>
        <v>2.3089355806972986E-4</v>
      </c>
      <c r="J127" s="68">
        <f t="shared" si="67"/>
        <v>2.4899365066190812E-4</v>
      </c>
      <c r="K127" s="68" t="e">
        <f t="shared" si="67"/>
        <v>#DIV/0!</v>
      </c>
      <c r="L127" s="92" t="e">
        <f t="shared" si="67"/>
        <v>#DIV/0!</v>
      </c>
      <c r="M127" s="92" t="e">
        <f t="shared" si="67"/>
        <v>#DIV/0!</v>
      </c>
      <c r="N127" s="68" t="e">
        <f t="shared" si="67"/>
        <v>#DIV/0!</v>
      </c>
      <c r="O127" s="70" t="e">
        <f t="shared" si="67"/>
        <v>#DIV/0!</v>
      </c>
      <c r="P127" s="104"/>
      <c r="Q127"/>
    </row>
    <row r="128" spans="1:24" ht="12.2" customHeight="1" x14ac:dyDescent="0.25">
      <c r="A128" s="38"/>
      <c r="B128" s="207"/>
      <c r="C128" s="62" t="s">
        <v>68</v>
      </c>
      <c r="D128" s="69">
        <f t="shared" ref="D128:O128" si="68">SUM(D125:D127)</f>
        <v>1</v>
      </c>
      <c r="E128" s="69">
        <f t="shared" si="68"/>
        <v>1</v>
      </c>
      <c r="F128" s="69">
        <f t="shared" si="68"/>
        <v>1</v>
      </c>
      <c r="G128" s="69">
        <f t="shared" si="68"/>
        <v>0.99999999999999989</v>
      </c>
      <c r="H128" s="69">
        <f t="shared" si="68"/>
        <v>1</v>
      </c>
      <c r="I128" s="69">
        <f t="shared" si="68"/>
        <v>0.99999999999999989</v>
      </c>
      <c r="J128" s="69">
        <f t="shared" si="68"/>
        <v>0.99999999999999989</v>
      </c>
      <c r="K128" s="69" t="e">
        <f t="shared" si="68"/>
        <v>#DIV/0!</v>
      </c>
      <c r="L128" s="92" t="e">
        <f t="shared" si="68"/>
        <v>#DIV/0!</v>
      </c>
      <c r="M128" s="92" t="e">
        <f t="shared" si="68"/>
        <v>#DIV/0!</v>
      </c>
      <c r="N128" s="69" t="e">
        <f t="shared" si="68"/>
        <v>#DIV/0!</v>
      </c>
      <c r="O128" s="69" t="e">
        <f t="shared" si="68"/>
        <v>#DIV/0!</v>
      </c>
      <c r="Q128"/>
    </row>
    <row r="129" spans="1:31" ht="12.2" customHeight="1" x14ac:dyDescent="0.25">
      <c r="A129" s="38"/>
      <c r="B129" s="39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31" ht="12.2" hidden="1" customHeight="1" x14ac:dyDescent="0.25">
      <c r="A130" s="38"/>
      <c r="B130" s="207" t="s">
        <v>17</v>
      </c>
      <c r="C130" s="62" t="s">
        <v>65</v>
      </c>
      <c r="D130" s="67">
        <f>D120/D123</f>
        <v>0.96004444650215293</v>
      </c>
      <c r="E130" s="67">
        <f t="shared" ref="E130:O130" si="69">E120/E123</f>
        <v>0.96100147275405012</v>
      </c>
      <c r="F130" s="67">
        <f t="shared" si="69"/>
        <v>0.9624023781045522</v>
      </c>
      <c r="G130" s="67">
        <f t="shared" si="69"/>
        <v>0.96212555285877077</v>
      </c>
      <c r="H130" s="67">
        <f t="shared" si="69"/>
        <v>0.96339875508130079</v>
      </c>
      <c r="I130" s="67">
        <f t="shared" si="69"/>
        <v>0.96258148967869173</v>
      </c>
      <c r="J130" s="67">
        <f t="shared" si="69"/>
        <v>0.96258801958374784</v>
      </c>
      <c r="K130" s="67">
        <f t="shared" si="69"/>
        <v>0.96258801958374784</v>
      </c>
      <c r="L130" s="67">
        <f t="shared" si="69"/>
        <v>0.96258801958374784</v>
      </c>
      <c r="M130" s="67">
        <f t="shared" si="69"/>
        <v>0.96258801958374784</v>
      </c>
      <c r="N130" s="67">
        <f t="shared" si="69"/>
        <v>0.96258801958374784</v>
      </c>
      <c r="O130" s="67">
        <f t="shared" si="69"/>
        <v>0.96258801958374784</v>
      </c>
    </row>
    <row r="131" spans="1:31" ht="12.2" hidden="1" customHeight="1" x14ac:dyDescent="0.25">
      <c r="A131" s="38"/>
      <c r="B131" s="207"/>
      <c r="C131" s="62" t="s">
        <v>66</v>
      </c>
      <c r="D131" s="67">
        <f>D121/D123</f>
        <v>3.7548034631232928E-2</v>
      </c>
      <c r="E131" s="67">
        <f t="shared" ref="E131:O131" si="70">E121/E123</f>
        <v>3.6783505154639178E-2</v>
      </c>
      <c r="F131" s="67">
        <f t="shared" si="70"/>
        <v>3.5812284528248785E-2</v>
      </c>
      <c r="G131" s="67">
        <f t="shared" si="70"/>
        <v>3.6528916042722223E-2</v>
      </c>
      <c r="H131" s="67">
        <f t="shared" si="70"/>
        <v>3.5452659214092144E-2</v>
      </c>
      <c r="I131" s="67">
        <f t="shared" si="70"/>
        <v>3.6441064769762055E-2</v>
      </c>
      <c r="J131" s="67">
        <f t="shared" si="70"/>
        <v>3.6503013634501723E-2</v>
      </c>
      <c r="K131" s="67">
        <f t="shared" si="70"/>
        <v>3.6503013634501723E-2</v>
      </c>
      <c r="L131" s="67">
        <f t="shared" si="70"/>
        <v>3.6503013634501723E-2</v>
      </c>
      <c r="M131" s="67">
        <f t="shared" si="70"/>
        <v>3.6503013634501723E-2</v>
      </c>
      <c r="N131" s="67">
        <f t="shared" si="70"/>
        <v>3.6503013634501723E-2</v>
      </c>
      <c r="O131" s="67">
        <f t="shared" si="70"/>
        <v>3.6503013634501723E-2</v>
      </c>
    </row>
    <row r="132" spans="1:31" ht="12.2" hidden="1" customHeight="1" x14ac:dyDescent="0.25">
      <c r="A132" s="38"/>
      <c r="B132" s="207"/>
      <c r="C132" s="62" t="s">
        <v>67</v>
      </c>
      <c r="D132" s="68">
        <f>D122/D123</f>
        <v>2.4075188666141949E-3</v>
      </c>
      <c r="E132" s="68">
        <f t="shared" ref="E132:O132" si="71">E122/E123</f>
        <v>2.2150220913107511E-3</v>
      </c>
      <c r="F132" s="68">
        <f t="shared" si="71"/>
        <v>1.7853373671990432E-3</v>
      </c>
      <c r="G132" s="68">
        <f t="shared" si="71"/>
        <v>1.3455310985070398E-3</v>
      </c>
      <c r="H132" s="68">
        <f t="shared" si="71"/>
        <v>1.148585704607046E-3</v>
      </c>
      <c r="I132" s="68">
        <f t="shared" si="71"/>
        <v>9.774455515462585E-4</v>
      </c>
      <c r="J132" s="68">
        <f t="shared" si="71"/>
        <v>9.0896678175044377E-4</v>
      </c>
      <c r="K132" s="68">
        <f t="shared" si="71"/>
        <v>9.0896678175044377E-4</v>
      </c>
      <c r="L132" s="68">
        <f t="shared" si="71"/>
        <v>9.0896678175044377E-4</v>
      </c>
      <c r="M132" s="68">
        <f t="shared" si="71"/>
        <v>9.0896678175044377E-4</v>
      </c>
      <c r="N132" s="68">
        <f t="shared" si="71"/>
        <v>9.0896678175044377E-4</v>
      </c>
      <c r="O132" s="68">
        <f t="shared" si="71"/>
        <v>9.0896678175044377E-4</v>
      </c>
    </row>
    <row r="133" spans="1:31" ht="12.2" hidden="1" customHeight="1" x14ac:dyDescent="0.25">
      <c r="A133" s="38"/>
      <c r="B133" s="207"/>
      <c r="C133" s="62" t="s">
        <v>68</v>
      </c>
      <c r="D133" s="69">
        <f t="shared" ref="D133:O133" si="72">SUM(D130:D132)</f>
        <v>1</v>
      </c>
      <c r="E133" s="69">
        <f t="shared" si="72"/>
        <v>1</v>
      </c>
      <c r="F133" s="69">
        <f t="shared" si="72"/>
        <v>1</v>
      </c>
      <c r="G133" s="69">
        <f t="shared" si="72"/>
        <v>1</v>
      </c>
      <c r="H133" s="69">
        <f t="shared" si="72"/>
        <v>1</v>
      </c>
      <c r="I133" s="69">
        <f t="shared" si="72"/>
        <v>1</v>
      </c>
      <c r="J133" s="69">
        <f t="shared" si="72"/>
        <v>1</v>
      </c>
      <c r="K133" s="69">
        <f t="shared" si="72"/>
        <v>1</v>
      </c>
      <c r="L133" s="69">
        <f t="shared" si="72"/>
        <v>1</v>
      </c>
      <c r="M133" s="69">
        <f t="shared" si="72"/>
        <v>1</v>
      </c>
      <c r="N133" s="69">
        <f t="shared" si="72"/>
        <v>1</v>
      </c>
      <c r="O133" s="69">
        <f t="shared" si="72"/>
        <v>1</v>
      </c>
    </row>
    <row r="134" spans="1:31" ht="12.2" hidden="1" customHeight="1" x14ac:dyDescent="0.25">
      <c r="A134" s="38"/>
      <c r="B134" s="39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31" ht="12.2" customHeight="1" x14ac:dyDescent="0.25">
      <c r="A135" s="38" t="s">
        <v>59</v>
      </c>
      <c r="B135" s="61" t="s">
        <v>71</v>
      </c>
      <c r="C135" s="62"/>
      <c r="D135" s="63" t="s">
        <v>4</v>
      </c>
      <c r="E135" s="63" t="s">
        <v>5</v>
      </c>
      <c r="F135" s="63" t="s">
        <v>6</v>
      </c>
      <c r="G135" s="63" t="s">
        <v>7</v>
      </c>
      <c r="H135" s="63" t="s">
        <v>38</v>
      </c>
      <c r="I135" s="63" t="s">
        <v>9</v>
      </c>
      <c r="J135" s="63" t="s">
        <v>10</v>
      </c>
      <c r="K135" s="63" t="s">
        <v>39</v>
      </c>
      <c r="L135" s="63" t="s">
        <v>12</v>
      </c>
      <c r="M135" s="63" t="s">
        <v>40</v>
      </c>
      <c r="N135" s="63" t="s">
        <v>41</v>
      </c>
      <c r="O135" s="63" t="s">
        <v>42</v>
      </c>
      <c r="R135" s="61" t="s">
        <v>78</v>
      </c>
      <c r="S135" s="62"/>
      <c r="T135" s="63" t="s">
        <v>4</v>
      </c>
      <c r="U135" s="63" t="s">
        <v>5</v>
      </c>
      <c r="V135" s="63" t="s">
        <v>6</v>
      </c>
      <c r="W135" s="63" t="s">
        <v>7</v>
      </c>
      <c r="X135" s="63" t="s">
        <v>38</v>
      </c>
      <c r="Y135" s="63" t="s">
        <v>9</v>
      </c>
      <c r="Z135" s="63" t="s">
        <v>10</v>
      </c>
      <c r="AA135" s="63" t="s">
        <v>39</v>
      </c>
      <c r="AB135" s="63" t="s">
        <v>12</v>
      </c>
      <c r="AC135" s="63" t="s">
        <v>40</v>
      </c>
      <c r="AD135" s="63" t="s">
        <v>41</v>
      </c>
      <c r="AE135" s="63" t="s">
        <v>42</v>
      </c>
    </row>
    <row r="136" spans="1:31" ht="12.2" customHeight="1" x14ac:dyDescent="0.25">
      <c r="A136" s="38"/>
      <c r="B136" s="207" t="s">
        <v>16</v>
      </c>
      <c r="C136" s="62" t="s">
        <v>61</v>
      </c>
      <c r="D136" s="64">
        <v>123878</v>
      </c>
      <c r="E136" s="64">
        <v>131327</v>
      </c>
      <c r="F136" s="64">
        <v>101841</v>
      </c>
      <c r="G136" s="64">
        <v>118316</v>
      </c>
      <c r="H136" s="64">
        <v>162379</v>
      </c>
      <c r="I136" s="64">
        <v>142329</v>
      </c>
      <c r="J136" s="64">
        <v>165339</v>
      </c>
      <c r="K136" s="64"/>
      <c r="L136" s="64"/>
      <c r="M136" s="64"/>
      <c r="N136" s="64"/>
      <c r="O136" s="64"/>
      <c r="P136" s="100">
        <f>SUM(D136:O136)</f>
        <v>945409</v>
      </c>
      <c r="Q136" s="157">
        <f>P136/P139</f>
        <v>0.9900410401301053</v>
      </c>
      <c r="R136" s="207" t="s">
        <v>16</v>
      </c>
      <c r="S136" s="62" t="s">
        <v>61</v>
      </c>
      <c r="T136" s="64">
        <f t="shared" ref="T136:AE138" si="73">D73+D94+D115+D136</f>
        <v>642913</v>
      </c>
      <c r="U136" s="64">
        <f t="shared" si="73"/>
        <v>682873</v>
      </c>
      <c r="V136" s="64">
        <f t="shared" si="73"/>
        <v>499847</v>
      </c>
      <c r="W136" s="64">
        <f t="shared" si="73"/>
        <v>688357</v>
      </c>
      <c r="X136" s="64">
        <f t="shared" ref="X136:Z137" si="74">H73+H94+H115+H136</f>
        <v>629529</v>
      </c>
      <c r="Y136" s="64">
        <f t="shared" si="74"/>
        <v>616391</v>
      </c>
      <c r="Z136" s="64">
        <f t="shared" si="74"/>
        <v>619066</v>
      </c>
      <c r="AA136" s="64">
        <f t="shared" si="73"/>
        <v>0</v>
      </c>
      <c r="AB136" s="64">
        <f t="shared" si="73"/>
        <v>0</v>
      </c>
      <c r="AC136" s="64">
        <f t="shared" si="73"/>
        <v>0</v>
      </c>
      <c r="AD136" s="64">
        <f t="shared" si="73"/>
        <v>0</v>
      </c>
      <c r="AE136" s="64">
        <f t="shared" si="73"/>
        <v>0</v>
      </c>
    </row>
    <row r="137" spans="1:31" ht="12.2" customHeight="1" x14ac:dyDescent="0.25">
      <c r="A137" s="38"/>
      <c r="B137" s="207"/>
      <c r="C137" s="62" t="s">
        <v>62</v>
      </c>
      <c r="D137" s="64">
        <v>1619</v>
      </c>
      <c r="E137" s="64">
        <v>2410</v>
      </c>
      <c r="F137" s="64">
        <v>1590</v>
      </c>
      <c r="G137" s="64">
        <v>350</v>
      </c>
      <c r="H137" s="64">
        <v>919</v>
      </c>
      <c r="I137" s="64">
        <v>803</v>
      </c>
      <c r="J137" s="64">
        <v>1699</v>
      </c>
      <c r="K137" s="64"/>
      <c r="L137" s="64"/>
      <c r="M137" s="64"/>
      <c r="N137" s="64"/>
      <c r="O137" s="64"/>
      <c r="P137" s="100">
        <f>SUM(D137:O137)</f>
        <v>9390</v>
      </c>
      <c r="Q137" s="157">
        <f>P137/P139</f>
        <v>9.8332947611263367E-3</v>
      </c>
      <c r="R137" s="207"/>
      <c r="S137" s="62" t="s">
        <v>62</v>
      </c>
      <c r="T137" s="64">
        <f t="shared" si="73"/>
        <v>5690</v>
      </c>
      <c r="U137" s="64">
        <f t="shared" si="73"/>
        <v>11070</v>
      </c>
      <c r="V137" s="64">
        <f t="shared" si="73"/>
        <v>6854</v>
      </c>
      <c r="W137" s="64">
        <f t="shared" si="73"/>
        <v>4856</v>
      </c>
      <c r="X137" s="64">
        <f t="shared" si="74"/>
        <v>2229</v>
      </c>
      <c r="Y137" s="64">
        <f t="shared" si="74"/>
        <v>7408</v>
      </c>
      <c r="Z137" s="64">
        <f t="shared" si="74"/>
        <v>5931</v>
      </c>
      <c r="AA137" s="64">
        <f t="shared" si="73"/>
        <v>0</v>
      </c>
      <c r="AB137" s="64">
        <f t="shared" si="73"/>
        <v>0</v>
      </c>
      <c r="AC137" s="64">
        <f t="shared" si="73"/>
        <v>0</v>
      </c>
      <c r="AD137" s="64">
        <f t="shared" si="73"/>
        <v>0</v>
      </c>
      <c r="AE137" s="64">
        <f t="shared" si="73"/>
        <v>0</v>
      </c>
    </row>
    <row r="138" spans="1:31" ht="12.2" customHeight="1" x14ac:dyDescent="0.25">
      <c r="A138" s="38"/>
      <c r="B138" s="207"/>
      <c r="C138" s="62" t="s">
        <v>63</v>
      </c>
      <c r="D138" s="64">
        <v>18</v>
      </c>
      <c r="E138" s="64">
        <v>14</v>
      </c>
      <c r="F138" s="64">
        <v>20</v>
      </c>
      <c r="G138" s="64">
        <v>1</v>
      </c>
      <c r="H138" s="64">
        <v>18</v>
      </c>
      <c r="I138" s="64">
        <v>8</v>
      </c>
      <c r="J138" s="64">
        <v>41</v>
      </c>
      <c r="K138" s="64"/>
      <c r="L138" s="64"/>
      <c r="M138" s="64"/>
      <c r="N138" s="64"/>
      <c r="O138" s="64"/>
      <c r="P138" s="100">
        <f>SUM(D138:O138)</f>
        <v>120</v>
      </c>
      <c r="Q138" s="157">
        <f>P138/P139</f>
        <v>1.2566510876838767E-4</v>
      </c>
      <c r="R138" s="207"/>
      <c r="S138" s="62" t="s">
        <v>63</v>
      </c>
      <c r="T138" s="64">
        <f t="shared" si="73"/>
        <v>148</v>
      </c>
      <c r="U138" s="64">
        <f t="shared" si="73"/>
        <v>197</v>
      </c>
      <c r="V138" s="64">
        <f t="shared" si="73"/>
        <v>160</v>
      </c>
      <c r="W138" s="64">
        <f t="shared" si="73"/>
        <v>15</v>
      </c>
      <c r="X138" s="64">
        <f t="shared" si="73"/>
        <v>70</v>
      </c>
      <c r="Y138" s="64">
        <f t="shared" si="73"/>
        <v>64</v>
      </c>
      <c r="Z138" s="64">
        <f t="shared" si="73"/>
        <v>132</v>
      </c>
      <c r="AA138" s="64">
        <f t="shared" si="73"/>
        <v>0</v>
      </c>
      <c r="AB138" s="64">
        <f t="shared" si="73"/>
        <v>0</v>
      </c>
      <c r="AC138" s="64">
        <f t="shared" si="73"/>
        <v>0</v>
      </c>
      <c r="AD138" s="64">
        <f t="shared" si="73"/>
        <v>0</v>
      </c>
      <c r="AE138" s="64">
        <f t="shared" si="73"/>
        <v>0</v>
      </c>
    </row>
    <row r="139" spans="1:31" ht="12.2" customHeight="1" x14ac:dyDescent="0.25">
      <c r="A139" s="38"/>
      <c r="B139" s="207"/>
      <c r="C139" s="62" t="s">
        <v>64</v>
      </c>
      <c r="D139" s="65">
        <f t="shared" ref="D139:O139" si="75">SUM(D136:D138)</f>
        <v>125515</v>
      </c>
      <c r="E139" s="65">
        <f t="shared" si="75"/>
        <v>133751</v>
      </c>
      <c r="F139" s="65">
        <f t="shared" si="75"/>
        <v>103451</v>
      </c>
      <c r="G139" s="65">
        <f t="shared" si="75"/>
        <v>118667</v>
      </c>
      <c r="H139" s="65">
        <f t="shared" si="75"/>
        <v>163316</v>
      </c>
      <c r="I139" s="65">
        <f t="shared" si="75"/>
        <v>143140</v>
      </c>
      <c r="J139" s="65">
        <f t="shared" si="75"/>
        <v>167079</v>
      </c>
      <c r="K139" s="65">
        <f t="shared" si="75"/>
        <v>0</v>
      </c>
      <c r="L139" s="65">
        <f t="shared" si="75"/>
        <v>0</v>
      </c>
      <c r="M139" s="65">
        <f t="shared" si="75"/>
        <v>0</v>
      </c>
      <c r="N139" s="65">
        <f t="shared" si="75"/>
        <v>0</v>
      </c>
      <c r="O139" s="65">
        <f t="shared" si="75"/>
        <v>0</v>
      </c>
      <c r="P139" s="65">
        <f>SUM(P136:P138)</f>
        <v>954919</v>
      </c>
      <c r="Q139" s="157">
        <f>SUM(Q136:Q138)</f>
        <v>1</v>
      </c>
      <c r="R139" s="207"/>
      <c r="S139" s="62" t="s">
        <v>64</v>
      </c>
      <c r="T139" s="66">
        <f t="shared" ref="T139:AE139" si="76">SUM(T136:T138)</f>
        <v>648751</v>
      </c>
      <c r="U139" s="66">
        <f t="shared" si="76"/>
        <v>694140</v>
      </c>
      <c r="V139" s="66">
        <f t="shared" si="76"/>
        <v>506861</v>
      </c>
      <c r="W139" s="66">
        <f t="shared" si="76"/>
        <v>693228</v>
      </c>
      <c r="X139" s="66">
        <f t="shared" si="76"/>
        <v>631828</v>
      </c>
      <c r="Y139" s="66">
        <f t="shared" si="76"/>
        <v>623863</v>
      </c>
      <c r="Z139" s="66">
        <f>SUM(Z136:Z138)</f>
        <v>625129</v>
      </c>
      <c r="AA139" s="66">
        <f t="shared" si="76"/>
        <v>0</v>
      </c>
      <c r="AB139" s="66">
        <f t="shared" si="76"/>
        <v>0</v>
      </c>
      <c r="AC139" s="66">
        <f t="shared" si="76"/>
        <v>0</v>
      </c>
      <c r="AD139" s="66">
        <f t="shared" si="76"/>
        <v>0</v>
      </c>
      <c r="AE139" s="66">
        <f t="shared" si="76"/>
        <v>0</v>
      </c>
    </row>
    <row r="140" spans="1:31" ht="12.2" customHeight="1" x14ac:dyDescent="0.25">
      <c r="A140" s="38"/>
      <c r="B140" s="39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R140" s="39"/>
      <c r="S140" s="39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 spans="1:31" ht="12.2" hidden="1" customHeight="1" x14ac:dyDescent="0.25">
      <c r="A141" s="38"/>
      <c r="B141" s="207" t="s">
        <v>17</v>
      </c>
      <c r="C141" s="62" t="s">
        <v>61</v>
      </c>
      <c r="D141" s="66">
        <f>D136</f>
        <v>123878</v>
      </c>
      <c r="E141" s="66">
        <f t="shared" ref="E141:O143" si="77">D141+E136</f>
        <v>255205</v>
      </c>
      <c r="F141" s="66">
        <f t="shared" si="77"/>
        <v>357046</v>
      </c>
      <c r="G141" s="66">
        <f t="shared" si="77"/>
        <v>475362</v>
      </c>
      <c r="H141" s="66">
        <f t="shared" si="77"/>
        <v>637741</v>
      </c>
      <c r="I141" s="66">
        <f t="shared" si="77"/>
        <v>780070</v>
      </c>
      <c r="J141" s="66">
        <f t="shared" si="77"/>
        <v>945409</v>
      </c>
      <c r="K141" s="66">
        <f t="shared" si="77"/>
        <v>945409</v>
      </c>
      <c r="L141" s="66">
        <f t="shared" si="77"/>
        <v>945409</v>
      </c>
      <c r="M141" s="66">
        <f t="shared" si="77"/>
        <v>945409</v>
      </c>
      <c r="N141" s="66">
        <f t="shared" si="77"/>
        <v>945409</v>
      </c>
      <c r="O141" s="66">
        <f t="shared" si="77"/>
        <v>945409</v>
      </c>
      <c r="R141" s="207" t="s">
        <v>17</v>
      </c>
      <c r="S141" s="62" t="s">
        <v>61</v>
      </c>
      <c r="T141" s="66">
        <f>T136</f>
        <v>642913</v>
      </c>
      <c r="U141" s="66">
        <f t="shared" ref="U141:AE141" si="78">T141+U136</f>
        <v>1325786</v>
      </c>
      <c r="V141" s="66">
        <f t="shared" si="78"/>
        <v>1825633</v>
      </c>
      <c r="W141" s="66">
        <f t="shared" si="78"/>
        <v>2513990</v>
      </c>
      <c r="X141" s="66">
        <f t="shared" si="78"/>
        <v>3143519</v>
      </c>
      <c r="Y141" s="66">
        <f t="shared" si="78"/>
        <v>3759910</v>
      </c>
      <c r="Z141" s="66">
        <f t="shared" si="78"/>
        <v>4378976</v>
      </c>
      <c r="AA141" s="66">
        <f t="shared" si="78"/>
        <v>4378976</v>
      </c>
      <c r="AB141" s="66">
        <f t="shared" si="78"/>
        <v>4378976</v>
      </c>
      <c r="AC141" s="66">
        <f t="shared" si="78"/>
        <v>4378976</v>
      </c>
      <c r="AD141" s="66">
        <f t="shared" si="78"/>
        <v>4378976</v>
      </c>
      <c r="AE141" s="66">
        <f t="shared" si="78"/>
        <v>4378976</v>
      </c>
    </row>
    <row r="142" spans="1:31" ht="12.2" hidden="1" customHeight="1" x14ac:dyDescent="0.25">
      <c r="A142" s="38"/>
      <c r="B142" s="207"/>
      <c r="C142" s="62" t="s">
        <v>62</v>
      </c>
      <c r="D142" s="66">
        <f>D137</f>
        <v>1619</v>
      </c>
      <c r="E142" s="66">
        <f t="shared" si="77"/>
        <v>4029</v>
      </c>
      <c r="F142" s="66">
        <f t="shared" si="77"/>
        <v>5619</v>
      </c>
      <c r="G142" s="66">
        <f t="shared" si="77"/>
        <v>5969</v>
      </c>
      <c r="H142" s="66">
        <f t="shared" si="77"/>
        <v>6888</v>
      </c>
      <c r="I142" s="66">
        <f t="shared" si="77"/>
        <v>7691</v>
      </c>
      <c r="J142" s="66">
        <f t="shared" si="77"/>
        <v>9390</v>
      </c>
      <c r="K142" s="66">
        <f t="shared" si="77"/>
        <v>9390</v>
      </c>
      <c r="L142" s="66">
        <f t="shared" si="77"/>
        <v>9390</v>
      </c>
      <c r="M142" s="66">
        <f t="shared" si="77"/>
        <v>9390</v>
      </c>
      <c r="N142" s="66">
        <f t="shared" si="77"/>
        <v>9390</v>
      </c>
      <c r="O142" s="66">
        <f t="shared" si="77"/>
        <v>9390</v>
      </c>
      <c r="R142" s="207"/>
      <c r="S142" s="62" t="s">
        <v>62</v>
      </c>
      <c r="T142" s="66">
        <f>T137</f>
        <v>5690</v>
      </c>
      <c r="U142" s="66">
        <f t="shared" ref="U142:AE142" si="79">T142+U137</f>
        <v>16760</v>
      </c>
      <c r="V142" s="66">
        <f t="shared" si="79"/>
        <v>23614</v>
      </c>
      <c r="W142" s="66">
        <f t="shared" si="79"/>
        <v>28470</v>
      </c>
      <c r="X142" s="66">
        <f t="shared" si="79"/>
        <v>30699</v>
      </c>
      <c r="Y142" s="66">
        <f t="shared" si="79"/>
        <v>38107</v>
      </c>
      <c r="Z142" s="66">
        <f t="shared" si="79"/>
        <v>44038</v>
      </c>
      <c r="AA142" s="66">
        <f t="shared" si="79"/>
        <v>44038</v>
      </c>
      <c r="AB142" s="66">
        <f t="shared" si="79"/>
        <v>44038</v>
      </c>
      <c r="AC142" s="66">
        <f t="shared" si="79"/>
        <v>44038</v>
      </c>
      <c r="AD142" s="66">
        <f t="shared" si="79"/>
        <v>44038</v>
      </c>
      <c r="AE142" s="66">
        <f t="shared" si="79"/>
        <v>44038</v>
      </c>
    </row>
    <row r="143" spans="1:31" ht="12.2" hidden="1" customHeight="1" x14ac:dyDescent="0.25">
      <c r="A143" s="38"/>
      <c r="B143" s="207"/>
      <c r="C143" s="62" t="s">
        <v>63</v>
      </c>
      <c r="D143" s="66">
        <f>D138</f>
        <v>18</v>
      </c>
      <c r="E143" s="66">
        <f t="shared" si="77"/>
        <v>32</v>
      </c>
      <c r="F143" s="66">
        <f t="shared" si="77"/>
        <v>52</v>
      </c>
      <c r="G143" s="66">
        <f t="shared" si="77"/>
        <v>53</v>
      </c>
      <c r="H143" s="66">
        <f t="shared" si="77"/>
        <v>71</v>
      </c>
      <c r="I143" s="66">
        <f t="shared" si="77"/>
        <v>79</v>
      </c>
      <c r="J143" s="66">
        <f t="shared" si="77"/>
        <v>120</v>
      </c>
      <c r="K143" s="66">
        <f t="shared" si="77"/>
        <v>120</v>
      </c>
      <c r="L143" s="66">
        <f t="shared" si="77"/>
        <v>120</v>
      </c>
      <c r="M143" s="66">
        <f t="shared" si="77"/>
        <v>120</v>
      </c>
      <c r="N143" s="66">
        <f t="shared" si="77"/>
        <v>120</v>
      </c>
      <c r="O143" s="66">
        <f t="shared" si="77"/>
        <v>120</v>
      </c>
      <c r="R143" s="207"/>
      <c r="S143" s="62" t="s">
        <v>63</v>
      </c>
      <c r="T143" s="66">
        <f>T138</f>
        <v>148</v>
      </c>
      <c r="U143" s="66">
        <f t="shared" ref="U143:AE143" si="80">T143+U138</f>
        <v>345</v>
      </c>
      <c r="V143" s="66">
        <f t="shared" si="80"/>
        <v>505</v>
      </c>
      <c r="W143" s="66">
        <f t="shared" si="80"/>
        <v>520</v>
      </c>
      <c r="X143" s="66">
        <f t="shared" si="80"/>
        <v>590</v>
      </c>
      <c r="Y143" s="66">
        <f t="shared" si="80"/>
        <v>654</v>
      </c>
      <c r="Z143" s="66">
        <f t="shared" si="80"/>
        <v>786</v>
      </c>
      <c r="AA143" s="66">
        <f t="shared" si="80"/>
        <v>786</v>
      </c>
      <c r="AB143" s="66">
        <f t="shared" si="80"/>
        <v>786</v>
      </c>
      <c r="AC143" s="66">
        <f t="shared" si="80"/>
        <v>786</v>
      </c>
      <c r="AD143" s="66">
        <f t="shared" si="80"/>
        <v>786</v>
      </c>
      <c r="AE143" s="66">
        <f t="shared" si="80"/>
        <v>786</v>
      </c>
    </row>
    <row r="144" spans="1:31" ht="12.2" hidden="1" customHeight="1" x14ac:dyDescent="0.25">
      <c r="A144" s="38"/>
      <c r="B144" s="207"/>
      <c r="C144" s="62" t="s">
        <v>64</v>
      </c>
      <c r="D144" s="66">
        <f t="shared" ref="D144:O144" si="81">SUM(D141:D143)</f>
        <v>125515</v>
      </c>
      <c r="E144" s="66">
        <f t="shared" si="81"/>
        <v>259266</v>
      </c>
      <c r="F144" s="66">
        <f t="shared" si="81"/>
        <v>362717</v>
      </c>
      <c r="G144" s="66">
        <f t="shared" si="81"/>
        <v>481384</v>
      </c>
      <c r="H144" s="66">
        <f t="shared" si="81"/>
        <v>644700</v>
      </c>
      <c r="I144" s="66">
        <f t="shared" si="81"/>
        <v>787840</v>
      </c>
      <c r="J144" s="66">
        <f t="shared" si="81"/>
        <v>954919</v>
      </c>
      <c r="K144" s="66">
        <f t="shared" si="81"/>
        <v>954919</v>
      </c>
      <c r="L144" s="66">
        <f t="shared" si="81"/>
        <v>954919</v>
      </c>
      <c r="M144" s="66">
        <f t="shared" si="81"/>
        <v>954919</v>
      </c>
      <c r="N144" s="66">
        <f t="shared" si="81"/>
        <v>954919</v>
      </c>
      <c r="O144" s="66">
        <f t="shared" si="81"/>
        <v>954919</v>
      </c>
      <c r="R144" s="207"/>
      <c r="S144" s="62" t="s">
        <v>64</v>
      </c>
      <c r="T144" s="66">
        <f t="shared" ref="T144:AE144" si="82">SUM(T141:T143)</f>
        <v>648751</v>
      </c>
      <c r="U144" s="66">
        <f t="shared" si="82"/>
        <v>1342891</v>
      </c>
      <c r="V144" s="66">
        <f t="shared" si="82"/>
        <v>1849752</v>
      </c>
      <c r="W144" s="66">
        <f t="shared" si="82"/>
        <v>2542980</v>
      </c>
      <c r="X144" s="66">
        <f t="shared" si="82"/>
        <v>3174808</v>
      </c>
      <c r="Y144" s="66">
        <f t="shared" si="82"/>
        <v>3798671</v>
      </c>
      <c r="Z144" s="66">
        <f t="shared" si="82"/>
        <v>4423800</v>
      </c>
      <c r="AA144" s="66">
        <f t="shared" si="82"/>
        <v>4423800</v>
      </c>
      <c r="AB144" s="66">
        <f t="shared" si="82"/>
        <v>4423800</v>
      </c>
      <c r="AC144" s="66">
        <f t="shared" si="82"/>
        <v>4423800</v>
      </c>
      <c r="AD144" s="66">
        <f t="shared" si="82"/>
        <v>4423800</v>
      </c>
      <c r="AE144" s="66">
        <f t="shared" si="82"/>
        <v>4423800</v>
      </c>
    </row>
    <row r="145" spans="1:31" ht="12.2" hidden="1" customHeight="1" x14ac:dyDescent="0.25">
      <c r="A145" s="38"/>
      <c r="B145" s="39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R145" s="39"/>
      <c r="S145" s="39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 spans="1:31" ht="12.2" customHeight="1" x14ac:dyDescent="0.25">
      <c r="A146" s="38"/>
      <c r="B146" s="207" t="s">
        <v>16</v>
      </c>
      <c r="C146" s="62" t="s">
        <v>65</v>
      </c>
      <c r="D146" s="67">
        <f>D136/D139</f>
        <v>0.98695773413536225</v>
      </c>
      <c r="E146" s="67">
        <f t="shared" ref="E146:O146" si="83">E136/E139</f>
        <v>0.9818767710147962</v>
      </c>
      <c r="F146" s="67">
        <f t="shared" si="83"/>
        <v>0.98443707649031909</v>
      </c>
      <c r="G146" s="67">
        <f t="shared" si="83"/>
        <v>0.99704214314004735</v>
      </c>
      <c r="H146" s="67">
        <f t="shared" si="83"/>
        <v>0.99426265644517375</v>
      </c>
      <c r="I146" s="67">
        <f t="shared" si="83"/>
        <v>0.99433421824786927</v>
      </c>
      <c r="J146" s="67">
        <f t="shared" si="83"/>
        <v>0.98958576481784066</v>
      </c>
      <c r="K146" s="67" t="e">
        <f t="shared" si="83"/>
        <v>#DIV/0!</v>
      </c>
      <c r="L146" s="92" t="e">
        <f t="shared" si="83"/>
        <v>#DIV/0!</v>
      </c>
      <c r="M146" s="92" t="e">
        <f t="shared" si="83"/>
        <v>#DIV/0!</v>
      </c>
      <c r="N146" s="67" t="e">
        <f t="shared" si="83"/>
        <v>#DIV/0!</v>
      </c>
      <c r="O146" s="67" t="e">
        <f t="shared" si="83"/>
        <v>#DIV/0!</v>
      </c>
      <c r="R146" s="207" t="s">
        <v>16</v>
      </c>
      <c r="S146" s="62" t="s">
        <v>65</v>
      </c>
      <c r="T146" s="67">
        <f>T136/T139</f>
        <v>0.99100116994039311</v>
      </c>
      <c r="U146" s="67">
        <f t="shared" ref="U146:AE146" si="84">U136/U139</f>
        <v>0.98376840406834354</v>
      </c>
      <c r="V146" s="67">
        <f t="shared" si="84"/>
        <v>0.98616188659218207</v>
      </c>
      <c r="W146" s="67">
        <f t="shared" si="84"/>
        <v>0.99297345173593676</v>
      </c>
      <c r="X146" s="67">
        <f t="shared" si="84"/>
        <v>0.99636135150705574</v>
      </c>
      <c r="Y146" s="67">
        <f t="shared" si="84"/>
        <v>0.98802301146245253</v>
      </c>
      <c r="Z146" s="67">
        <f t="shared" si="84"/>
        <v>0.99030120183194192</v>
      </c>
      <c r="AA146" s="67" t="e">
        <f t="shared" si="84"/>
        <v>#DIV/0!</v>
      </c>
      <c r="AB146" s="67" t="e">
        <f t="shared" si="84"/>
        <v>#DIV/0!</v>
      </c>
      <c r="AC146" s="67" t="e">
        <f t="shared" si="84"/>
        <v>#DIV/0!</v>
      </c>
      <c r="AD146" s="67" t="e">
        <f t="shared" si="84"/>
        <v>#DIV/0!</v>
      </c>
      <c r="AE146" s="67" t="e">
        <f t="shared" si="84"/>
        <v>#DIV/0!</v>
      </c>
    </row>
    <row r="147" spans="1:31" ht="12.2" customHeight="1" x14ac:dyDescent="0.25">
      <c r="A147" s="38"/>
      <c r="B147" s="207"/>
      <c r="C147" s="62" t="s">
        <v>66</v>
      </c>
      <c r="D147" s="67">
        <f>D137/D139</f>
        <v>1.2898856710353344E-2</v>
      </c>
      <c r="E147" s="67">
        <f t="shared" ref="E147:O147" si="85">E137/E139</f>
        <v>1.8018556870602838E-2</v>
      </c>
      <c r="F147" s="67">
        <f t="shared" si="85"/>
        <v>1.5369595267324627E-2</v>
      </c>
      <c r="G147" s="70">
        <f t="shared" si="85"/>
        <v>2.9494299173316928E-3</v>
      </c>
      <c r="H147" s="70">
        <f t="shared" si="85"/>
        <v>5.6271277768252959E-3</v>
      </c>
      <c r="I147" s="70">
        <f t="shared" si="85"/>
        <v>5.6098924130222163E-3</v>
      </c>
      <c r="J147" s="70">
        <f t="shared" si="85"/>
        <v>1.0168842284188916E-2</v>
      </c>
      <c r="K147" s="70" t="e">
        <f t="shared" si="85"/>
        <v>#DIV/0!</v>
      </c>
      <c r="L147" s="92" t="e">
        <f t="shared" si="85"/>
        <v>#DIV/0!</v>
      </c>
      <c r="M147" s="92" t="e">
        <f t="shared" si="85"/>
        <v>#DIV/0!</v>
      </c>
      <c r="N147" s="68" t="e">
        <f t="shared" si="85"/>
        <v>#DIV/0!</v>
      </c>
      <c r="O147" s="70" t="e">
        <f t="shared" si="85"/>
        <v>#DIV/0!</v>
      </c>
      <c r="P147" s="104"/>
      <c r="R147" s="207"/>
      <c r="S147" s="62" t="s">
        <v>66</v>
      </c>
      <c r="T147" s="67">
        <f>T137/T139</f>
        <v>8.7706993900587438E-3</v>
      </c>
      <c r="U147" s="67">
        <f t="shared" ref="U147:AE147" si="86">U137/U139</f>
        <v>1.5947791511798773E-2</v>
      </c>
      <c r="V147" s="67">
        <f t="shared" si="86"/>
        <v>1.3522445009578563E-2</v>
      </c>
      <c r="W147" s="67">
        <f t="shared" si="86"/>
        <v>7.0049103613818251E-3</v>
      </c>
      <c r="X147" s="67">
        <f t="shared" si="86"/>
        <v>3.5278588476610724E-3</v>
      </c>
      <c r="Y147" s="68">
        <f t="shared" si="86"/>
        <v>1.1874401911958234E-2</v>
      </c>
      <c r="Z147" s="67">
        <f t="shared" si="86"/>
        <v>9.4876417507426467E-3</v>
      </c>
      <c r="AA147" s="67" t="e">
        <f t="shared" si="86"/>
        <v>#DIV/0!</v>
      </c>
      <c r="AB147" s="67" t="e">
        <f t="shared" si="86"/>
        <v>#DIV/0!</v>
      </c>
      <c r="AC147" s="68" t="e">
        <f t="shared" si="86"/>
        <v>#DIV/0!</v>
      </c>
      <c r="AD147" s="67" t="e">
        <f t="shared" si="86"/>
        <v>#DIV/0!</v>
      </c>
      <c r="AE147" s="67" t="e">
        <f t="shared" si="86"/>
        <v>#DIV/0!</v>
      </c>
    </row>
    <row r="148" spans="1:31" ht="12.2" customHeight="1" x14ac:dyDescent="0.25">
      <c r="A148" s="38"/>
      <c r="B148" s="207"/>
      <c r="C148" s="62" t="s">
        <v>67</v>
      </c>
      <c r="D148" s="70">
        <f>D138/D139</f>
        <v>1.4340915428434848E-4</v>
      </c>
      <c r="E148" s="70">
        <f t="shared" ref="E148:O148" si="87">E138/E139</f>
        <v>1.0467211460101233E-4</v>
      </c>
      <c r="F148" s="70">
        <f t="shared" si="87"/>
        <v>1.9332824235628461E-4</v>
      </c>
      <c r="G148" s="70">
        <f t="shared" si="87"/>
        <v>8.4269426209476941E-6</v>
      </c>
      <c r="H148" s="70">
        <f t="shared" si="87"/>
        <v>1.1021577800093072E-4</v>
      </c>
      <c r="I148" s="70">
        <f t="shared" si="87"/>
        <v>5.588933910856504E-5</v>
      </c>
      <c r="J148" s="70">
        <f t="shared" si="87"/>
        <v>2.453928979704212E-4</v>
      </c>
      <c r="K148" s="70" t="e">
        <f t="shared" si="87"/>
        <v>#DIV/0!</v>
      </c>
      <c r="L148" s="92" t="e">
        <f t="shared" si="87"/>
        <v>#DIV/0!</v>
      </c>
      <c r="M148" s="92" t="e">
        <f t="shared" si="87"/>
        <v>#DIV/0!</v>
      </c>
      <c r="N148" s="68" t="e">
        <f t="shared" si="87"/>
        <v>#DIV/0!</v>
      </c>
      <c r="O148" s="70" t="e">
        <f t="shared" si="87"/>
        <v>#DIV/0!</v>
      </c>
      <c r="P148" s="104"/>
      <c r="R148" s="207"/>
      <c r="S148" s="62" t="s">
        <v>67</v>
      </c>
      <c r="T148" s="70">
        <f>T138/T139</f>
        <v>2.2813066954810088E-4</v>
      </c>
      <c r="U148" s="70">
        <f t="shared" ref="U148:AE148" si="88">U138/U139</f>
        <v>2.8380441985766558E-4</v>
      </c>
      <c r="V148" s="70">
        <f t="shared" si="88"/>
        <v>3.1566839823935953E-4</v>
      </c>
      <c r="W148" s="68">
        <f t="shared" si="88"/>
        <v>2.1637902681368899E-5</v>
      </c>
      <c r="X148" s="68">
        <f t="shared" si="88"/>
        <v>1.1078964528320999E-4</v>
      </c>
      <c r="Y148" s="68">
        <f t="shared" si="88"/>
        <v>1.0258662558927201E-4</v>
      </c>
      <c r="Z148" s="70">
        <f t="shared" si="88"/>
        <v>2.1115641731546609E-4</v>
      </c>
      <c r="AA148" s="70" t="e">
        <f t="shared" si="88"/>
        <v>#DIV/0!</v>
      </c>
      <c r="AB148" s="68" t="e">
        <f t="shared" si="88"/>
        <v>#DIV/0!</v>
      </c>
      <c r="AC148" s="68" t="e">
        <f t="shared" si="88"/>
        <v>#DIV/0!</v>
      </c>
      <c r="AD148" s="68" t="e">
        <f t="shared" si="88"/>
        <v>#DIV/0!</v>
      </c>
      <c r="AE148" s="68" t="e">
        <f t="shared" si="88"/>
        <v>#DIV/0!</v>
      </c>
    </row>
    <row r="149" spans="1:31" ht="12.2" customHeight="1" x14ac:dyDescent="0.25">
      <c r="A149" s="38"/>
      <c r="B149" s="207"/>
      <c r="C149" s="62" t="s">
        <v>68</v>
      </c>
      <c r="D149" s="69">
        <f t="shared" ref="D149:O149" si="89">SUM(D146:D148)</f>
        <v>0.99999999999999989</v>
      </c>
      <c r="E149" s="69">
        <f t="shared" si="89"/>
        <v>1</v>
      </c>
      <c r="F149" s="69">
        <f t="shared" si="89"/>
        <v>1</v>
      </c>
      <c r="G149" s="69">
        <f t="shared" si="89"/>
        <v>1</v>
      </c>
      <c r="H149" s="69">
        <f t="shared" si="89"/>
        <v>1</v>
      </c>
      <c r="I149" s="69">
        <f t="shared" si="89"/>
        <v>1</v>
      </c>
      <c r="J149" s="69">
        <f t="shared" si="89"/>
        <v>1</v>
      </c>
      <c r="K149" s="69" t="e">
        <f t="shared" si="89"/>
        <v>#DIV/0!</v>
      </c>
      <c r="L149" s="92" t="e">
        <f t="shared" si="89"/>
        <v>#DIV/0!</v>
      </c>
      <c r="M149" s="92" t="e">
        <f t="shared" si="89"/>
        <v>#DIV/0!</v>
      </c>
      <c r="N149" s="69" t="e">
        <f t="shared" si="89"/>
        <v>#DIV/0!</v>
      </c>
      <c r="O149" s="69" t="e">
        <f t="shared" si="89"/>
        <v>#DIV/0!</v>
      </c>
      <c r="R149" s="207"/>
      <c r="S149" s="62" t="s">
        <v>68</v>
      </c>
      <c r="T149" s="69">
        <f t="shared" ref="T149:AE149" si="90">SUM(T146:T148)</f>
        <v>0.99999999999999989</v>
      </c>
      <c r="U149" s="69">
        <f t="shared" si="90"/>
        <v>1</v>
      </c>
      <c r="V149" s="69">
        <f t="shared" si="90"/>
        <v>1</v>
      </c>
      <c r="W149" s="69">
        <f t="shared" si="90"/>
        <v>1</v>
      </c>
      <c r="X149" s="69">
        <f t="shared" si="90"/>
        <v>1</v>
      </c>
      <c r="Y149" s="69">
        <f t="shared" si="90"/>
        <v>1</v>
      </c>
      <c r="Z149" s="69">
        <f t="shared" si="90"/>
        <v>1</v>
      </c>
      <c r="AA149" s="69" t="e">
        <f t="shared" si="90"/>
        <v>#DIV/0!</v>
      </c>
      <c r="AB149" s="69" t="e">
        <f t="shared" si="90"/>
        <v>#DIV/0!</v>
      </c>
      <c r="AC149" s="69" t="e">
        <f t="shared" si="90"/>
        <v>#DIV/0!</v>
      </c>
      <c r="AD149" s="69" t="e">
        <f t="shared" si="90"/>
        <v>#DIV/0!</v>
      </c>
      <c r="AE149" s="69" t="e">
        <f t="shared" si="90"/>
        <v>#DIV/0!</v>
      </c>
    </row>
    <row r="150" spans="1:31" ht="12.2" customHeight="1" x14ac:dyDescent="0.25">
      <c r="A150" s="38"/>
      <c r="B150" s="39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R150" s="39"/>
      <c r="S150" s="39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 spans="1:31" ht="12.2" hidden="1" customHeight="1" x14ac:dyDescent="0.25">
      <c r="A151" s="38"/>
      <c r="B151" s="207" t="s">
        <v>17</v>
      </c>
      <c r="C151" s="62" t="s">
        <v>65</v>
      </c>
      <c r="D151" s="67">
        <f>D141/D144</f>
        <v>0.98695773413536225</v>
      </c>
      <c r="E151" s="67">
        <f t="shared" ref="E151:O151" si="91">E141/E144</f>
        <v>0.98433655010684007</v>
      </c>
      <c r="F151" s="67">
        <f t="shared" si="91"/>
        <v>0.98436522137093108</v>
      </c>
      <c r="G151" s="67">
        <f t="shared" si="91"/>
        <v>0.98749023648480216</v>
      </c>
      <c r="H151" s="67">
        <f t="shared" si="91"/>
        <v>0.98920583217000158</v>
      </c>
      <c r="I151" s="67">
        <f t="shared" si="91"/>
        <v>0.9901375913891145</v>
      </c>
      <c r="J151" s="67">
        <f t="shared" si="91"/>
        <v>0.9900410401301053</v>
      </c>
      <c r="K151" s="67">
        <f t="shared" si="91"/>
        <v>0.9900410401301053</v>
      </c>
      <c r="L151" s="67">
        <f t="shared" si="91"/>
        <v>0.9900410401301053</v>
      </c>
      <c r="M151" s="67">
        <f t="shared" si="91"/>
        <v>0.9900410401301053</v>
      </c>
      <c r="N151" s="67">
        <f t="shared" si="91"/>
        <v>0.9900410401301053</v>
      </c>
      <c r="O151" s="67">
        <f t="shared" si="91"/>
        <v>0.9900410401301053</v>
      </c>
      <c r="R151" s="207" t="s">
        <v>17</v>
      </c>
      <c r="S151" s="62" t="s">
        <v>65</v>
      </c>
      <c r="T151" s="67">
        <f>T141/T144</f>
        <v>0.99100116994039311</v>
      </c>
      <c r="U151" s="67">
        <f t="shared" ref="U151:AE151" si="92">U141/U144</f>
        <v>0.98726255518876815</v>
      </c>
      <c r="V151" s="67">
        <f t="shared" si="92"/>
        <v>0.98696095476582801</v>
      </c>
      <c r="W151" s="67">
        <f t="shared" si="92"/>
        <v>0.98859998898929602</v>
      </c>
      <c r="X151" s="67">
        <f t="shared" si="92"/>
        <v>0.99014460087035183</v>
      </c>
      <c r="Y151" s="67">
        <f t="shared" si="92"/>
        <v>0.98979616818618932</v>
      </c>
      <c r="Z151" s="67">
        <f t="shared" si="92"/>
        <v>0.98986753469867539</v>
      </c>
      <c r="AA151" s="67">
        <f t="shared" si="92"/>
        <v>0.98986753469867539</v>
      </c>
      <c r="AB151" s="67">
        <f t="shared" si="92"/>
        <v>0.98986753469867539</v>
      </c>
      <c r="AC151" s="94">
        <f t="shared" si="92"/>
        <v>0.98986753469867539</v>
      </c>
      <c r="AD151" s="67">
        <f t="shared" si="92"/>
        <v>0.98986753469867539</v>
      </c>
      <c r="AE151" s="67">
        <f t="shared" si="92"/>
        <v>0.98986753469867539</v>
      </c>
    </row>
    <row r="152" spans="1:31" ht="12.2" hidden="1" customHeight="1" x14ac:dyDescent="0.25">
      <c r="A152" s="38"/>
      <c r="B152" s="207"/>
      <c r="C152" s="62" t="s">
        <v>66</v>
      </c>
      <c r="D152" s="67">
        <f>D142/D144</f>
        <v>1.2898856710353344E-2</v>
      </c>
      <c r="E152" s="67">
        <f t="shared" ref="E152:O152" si="93">E142/E144</f>
        <v>1.554002453079077E-2</v>
      </c>
      <c r="F152" s="67">
        <f t="shared" si="93"/>
        <v>1.5491416172939233E-2</v>
      </c>
      <c r="G152" s="67">
        <f t="shared" si="93"/>
        <v>1.2399664301264686E-2</v>
      </c>
      <c r="H152" s="67">
        <f t="shared" si="93"/>
        <v>1.0684039087947883E-2</v>
      </c>
      <c r="I152" s="67">
        <f t="shared" si="93"/>
        <v>9.7621344435418356E-3</v>
      </c>
      <c r="J152" s="67">
        <f t="shared" si="93"/>
        <v>9.8332947611263367E-3</v>
      </c>
      <c r="K152" s="67">
        <f t="shared" si="93"/>
        <v>9.8332947611263367E-3</v>
      </c>
      <c r="L152" s="67">
        <f t="shared" si="93"/>
        <v>9.8332947611263367E-3</v>
      </c>
      <c r="M152" s="67">
        <f t="shared" si="93"/>
        <v>9.8332947611263367E-3</v>
      </c>
      <c r="N152" s="67">
        <f t="shared" si="93"/>
        <v>9.8332947611263367E-3</v>
      </c>
      <c r="O152" s="67">
        <f t="shared" si="93"/>
        <v>9.8332947611263367E-3</v>
      </c>
      <c r="R152" s="207"/>
      <c r="S152" s="62" t="s">
        <v>66</v>
      </c>
      <c r="T152" s="67">
        <f>T142/T144</f>
        <v>8.7706993900587438E-3</v>
      </c>
      <c r="U152" s="67">
        <f t="shared" ref="U152:AE152" si="94">U142/U144</f>
        <v>1.2480536394986638E-2</v>
      </c>
      <c r="V152" s="67">
        <f t="shared" si="94"/>
        <v>1.276603566315917E-2</v>
      </c>
      <c r="W152" s="67">
        <f t="shared" si="94"/>
        <v>1.1195526508269825E-2</v>
      </c>
      <c r="X152" s="67">
        <f t="shared" si="94"/>
        <v>9.6695611199165438E-3</v>
      </c>
      <c r="Y152" s="67">
        <f t="shared" si="94"/>
        <v>1.0031666338042963E-2</v>
      </c>
      <c r="Z152" s="67">
        <f t="shared" si="94"/>
        <v>9.9547899995478997E-3</v>
      </c>
      <c r="AA152" s="67">
        <f t="shared" si="94"/>
        <v>9.9547899995478997E-3</v>
      </c>
      <c r="AB152" s="67">
        <f t="shared" si="94"/>
        <v>9.9547899995478997E-3</v>
      </c>
      <c r="AC152" s="94">
        <f t="shared" si="94"/>
        <v>9.9547899995478997E-3</v>
      </c>
      <c r="AD152" s="67">
        <f t="shared" si="94"/>
        <v>9.9547899995478997E-3</v>
      </c>
      <c r="AE152" s="67">
        <f t="shared" si="94"/>
        <v>9.9547899995478997E-3</v>
      </c>
    </row>
    <row r="153" spans="1:31" ht="12.2" hidden="1" customHeight="1" x14ac:dyDescent="0.25">
      <c r="A153" s="38"/>
      <c r="B153" s="207"/>
      <c r="C153" s="62" t="s">
        <v>67</v>
      </c>
      <c r="D153" s="68">
        <f>D143/D144</f>
        <v>1.4340915428434848E-4</v>
      </c>
      <c r="E153" s="70">
        <f t="shared" ref="E153:O153" si="95">E143/E144</f>
        <v>1.2342536236914983E-4</v>
      </c>
      <c r="F153" s="68">
        <f t="shared" si="95"/>
        <v>1.4336245612970994E-4</v>
      </c>
      <c r="G153" s="68">
        <f t="shared" si="95"/>
        <v>1.1009921393315939E-4</v>
      </c>
      <c r="H153" s="68">
        <f t="shared" si="95"/>
        <v>1.1012874205056615E-4</v>
      </c>
      <c r="I153" s="68">
        <f t="shared" si="95"/>
        <v>1.0027416734362307E-4</v>
      </c>
      <c r="J153" s="68">
        <f t="shared" si="95"/>
        <v>1.2566510876838767E-4</v>
      </c>
      <c r="K153" s="70">
        <f t="shared" si="95"/>
        <v>1.2566510876838767E-4</v>
      </c>
      <c r="L153" s="68">
        <f t="shared" si="95"/>
        <v>1.2566510876838767E-4</v>
      </c>
      <c r="M153" s="68">
        <f t="shared" si="95"/>
        <v>1.2566510876838767E-4</v>
      </c>
      <c r="N153" s="68">
        <f t="shared" si="95"/>
        <v>1.2566510876838767E-4</v>
      </c>
      <c r="O153" s="68">
        <f t="shared" si="95"/>
        <v>1.2566510876838767E-4</v>
      </c>
      <c r="R153" s="207"/>
      <c r="S153" s="62" t="s">
        <v>67</v>
      </c>
      <c r="T153" s="68">
        <f>T143/T144</f>
        <v>2.2813066954810088E-4</v>
      </c>
      <c r="U153" s="70">
        <f t="shared" ref="U153:AE153" si="96">U143/U144</f>
        <v>2.5690841624524999E-4</v>
      </c>
      <c r="V153" s="68">
        <f t="shared" si="96"/>
        <v>2.7300957101276279E-4</v>
      </c>
      <c r="W153" s="68">
        <f t="shared" si="96"/>
        <v>2.0448450243415207E-4</v>
      </c>
      <c r="X153" s="68">
        <f t="shared" si="96"/>
        <v>1.8583800973161213E-4</v>
      </c>
      <c r="Y153" s="68">
        <f t="shared" si="96"/>
        <v>1.7216547576770928E-4</v>
      </c>
      <c r="Z153" s="68">
        <f t="shared" si="96"/>
        <v>1.7767530177675302E-4</v>
      </c>
      <c r="AA153" s="70">
        <f t="shared" si="96"/>
        <v>1.7767530177675302E-4</v>
      </c>
      <c r="AB153" s="68">
        <f t="shared" si="96"/>
        <v>1.7767530177675302E-4</v>
      </c>
      <c r="AC153" s="95">
        <f t="shared" si="96"/>
        <v>1.7767530177675302E-4</v>
      </c>
      <c r="AD153" s="68">
        <f t="shared" si="96"/>
        <v>1.7767530177675302E-4</v>
      </c>
      <c r="AE153" s="68">
        <f t="shared" si="96"/>
        <v>1.7767530177675302E-4</v>
      </c>
    </row>
    <row r="154" spans="1:31" ht="12.2" hidden="1" customHeight="1" x14ac:dyDescent="0.25">
      <c r="A154" s="38"/>
      <c r="B154" s="207"/>
      <c r="C154" s="62" t="s">
        <v>68</v>
      </c>
      <c r="D154" s="69">
        <f t="shared" ref="D154:O154" si="97">SUM(D151:D153)</f>
        <v>0.99999999999999989</v>
      </c>
      <c r="E154" s="69">
        <f t="shared" si="97"/>
        <v>1</v>
      </c>
      <c r="F154" s="69">
        <f t="shared" si="97"/>
        <v>1</v>
      </c>
      <c r="G154" s="69">
        <f t="shared" si="97"/>
        <v>1</v>
      </c>
      <c r="H154" s="69">
        <f t="shared" si="97"/>
        <v>1</v>
      </c>
      <c r="I154" s="69">
        <f t="shared" si="97"/>
        <v>0.99999999999999989</v>
      </c>
      <c r="J154" s="69">
        <f t="shared" si="97"/>
        <v>1</v>
      </c>
      <c r="K154" s="69">
        <f t="shared" si="97"/>
        <v>1</v>
      </c>
      <c r="L154" s="69">
        <f t="shared" si="97"/>
        <v>1</v>
      </c>
      <c r="M154" s="69">
        <f t="shared" si="97"/>
        <v>1</v>
      </c>
      <c r="N154" s="69">
        <f t="shared" si="97"/>
        <v>1</v>
      </c>
      <c r="O154" s="69">
        <f t="shared" si="97"/>
        <v>1</v>
      </c>
      <c r="R154" s="207"/>
      <c r="S154" s="62" t="s">
        <v>68</v>
      </c>
      <c r="T154" s="69">
        <f t="shared" ref="T154:AE154" si="98">SUM(T151:T153)</f>
        <v>0.99999999999999989</v>
      </c>
      <c r="U154" s="69">
        <f t="shared" si="98"/>
        <v>1</v>
      </c>
      <c r="V154" s="69">
        <f t="shared" si="98"/>
        <v>0.99999999999999989</v>
      </c>
      <c r="W154" s="69">
        <f t="shared" si="98"/>
        <v>1</v>
      </c>
      <c r="X154" s="69">
        <f t="shared" si="98"/>
        <v>1</v>
      </c>
      <c r="Y154" s="69">
        <f t="shared" si="98"/>
        <v>1</v>
      </c>
      <c r="Z154" s="69">
        <f t="shared" si="98"/>
        <v>1</v>
      </c>
      <c r="AA154" s="69">
        <f t="shared" si="98"/>
        <v>1</v>
      </c>
      <c r="AB154" s="69">
        <f t="shared" si="98"/>
        <v>1</v>
      </c>
      <c r="AC154" s="96">
        <f t="shared" si="98"/>
        <v>1</v>
      </c>
      <c r="AD154" s="69">
        <f t="shared" si="98"/>
        <v>1</v>
      </c>
      <c r="AE154" s="69">
        <f t="shared" si="98"/>
        <v>1</v>
      </c>
    </row>
    <row r="155" spans="1:31" ht="12.2" hidden="1" customHeight="1" x14ac:dyDescent="0.2"/>
    <row r="156" spans="1:31" ht="12.2" customHeight="1" x14ac:dyDescent="0.25">
      <c r="A156" s="38" t="s">
        <v>59</v>
      </c>
      <c r="B156" s="61" t="s">
        <v>72</v>
      </c>
      <c r="C156" s="62"/>
      <c r="D156" s="63" t="s">
        <v>4</v>
      </c>
      <c r="E156" s="63" t="s">
        <v>5</v>
      </c>
      <c r="F156" s="63" t="s">
        <v>6</v>
      </c>
      <c r="G156" s="63" t="s">
        <v>7</v>
      </c>
      <c r="H156" s="63" t="s">
        <v>38</v>
      </c>
      <c r="I156" s="63" t="s">
        <v>9</v>
      </c>
      <c r="J156" s="63" t="s">
        <v>10</v>
      </c>
      <c r="K156" s="63" t="s">
        <v>39</v>
      </c>
      <c r="L156" s="63" t="s">
        <v>12</v>
      </c>
      <c r="M156" s="63" t="s">
        <v>40</v>
      </c>
      <c r="N156" s="63" t="s">
        <v>41</v>
      </c>
      <c r="O156" s="63" t="s">
        <v>42</v>
      </c>
    </row>
    <row r="157" spans="1:31" ht="12.2" customHeight="1" x14ac:dyDescent="0.25">
      <c r="A157" s="38"/>
      <c r="B157" s="207" t="s">
        <v>16</v>
      </c>
      <c r="C157" s="62" t="s">
        <v>61</v>
      </c>
      <c r="D157" s="71">
        <v>104073</v>
      </c>
      <c r="E157" s="71">
        <v>185197</v>
      </c>
      <c r="F157" s="71">
        <v>148144</v>
      </c>
      <c r="G157" s="71">
        <v>163705</v>
      </c>
      <c r="H157" s="71">
        <v>144106</v>
      </c>
      <c r="I157" s="71">
        <v>185793</v>
      </c>
      <c r="J157" s="71">
        <v>151961</v>
      </c>
      <c r="K157" s="71"/>
      <c r="L157" s="71"/>
      <c r="M157" s="85"/>
      <c r="N157" s="71"/>
      <c r="O157" s="71"/>
    </row>
    <row r="158" spans="1:31" ht="12.2" customHeight="1" x14ac:dyDescent="0.25">
      <c r="A158" s="38"/>
      <c r="B158" s="207"/>
      <c r="C158" s="62" t="s">
        <v>62</v>
      </c>
      <c r="D158" s="71">
        <v>1627</v>
      </c>
      <c r="E158" s="71">
        <v>3641</v>
      </c>
      <c r="F158" s="71">
        <v>2324</v>
      </c>
      <c r="G158" s="71">
        <v>3934</v>
      </c>
      <c r="H158" s="71">
        <v>4538</v>
      </c>
      <c r="I158" s="71">
        <v>4421</v>
      </c>
      <c r="J158" s="71">
        <v>2875</v>
      </c>
      <c r="K158" s="71"/>
      <c r="L158" s="71"/>
      <c r="M158" s="85"/>
      <c r="N158" s="71"/>
      <c r="O158" s="71"/>
    </row>
    <row r="159" spans="1:31" ht="12.2" customHeight="1" x14ac:dyDescent="0.25">
      <c r="A159" s="38"/>
      <c r="B159" s="207"/>
      <c r="C159" s="62" t="s">
        <v>63</v>
      </c>
      <c r="D159" s="71">
        <v>30</v>
      </c>
      <c r="E159" s="71">
        <v>216</v>
      </c>
      <c r="F159" s="71">
        <v>229</v>
      </c>
      <c r="G159" s="71">
        <v>131</v>
      </c>
      <c r="H159" s="71">
        <v>171</v>
      </c>
      <c r="I159" s="71">
        <v>118</v>
      </c>
      <c r="J159" s="71">
        <v>141</v>
      </c>
      <c r="K159" s="71"/>
      <c r="L159" s="71"/>
      <c r="M159" s="85"/>
      <c r="N159" s="71"/>
      <c r="O159" s="71"/>
    </row>
    <row r="160" spans="1:31" ht="12.2" customHeight="1" x14ac:dyDescent="0.25">
      <c r="A160" s="38"/>
      <c r="B160" s="207"/>
      <c r="C160" s="62" t="s">
        <v>64</v>
      </c>
      <c r="D160" s="66">
        <f t="shared" ref="D160:O160" si="99">SUM(D157:D159)</f>
        <v>105730</v>
      </c>
      <c r="E160" s="65">
        <f t="shared" si="99"/>
        <v>189054</v>
      </c>
      <c r="F160" s="65">
        <f t="shared" si="99"/>
        <v>150697</v>
      </c>
      <c r="G160" s="65">
        <f t="shared" si="99"/>
        <v>167770</v>
      </c>
      <c r="H160" s="65">
        <f t="shared" si="99"/>
        <v>148815</v>
      </c>
      <c r="I160" s="65">
        <f t="shared" si="99"/>
        <v>190332</v>
      </c>
      <c r="J160" s="65">
        <f t="shared" si="99"/>
        <v>154977</v>
      </c>
      <c r="K160" s="65">
        <f t="shared" si="99"/>
        <v>0</v>
      </c>
      <c r="L160" s="65">
        <f t="shared" si="99"/>
        <v>0</v>
      </c>
      <c r="M160" s="65">
        <f t="shared" si="99"/>
        <v>0</v>
      </c>
      <c r="N160" s="65">
        <f t="shared" si="99"/>
        <v>0</v>
      </c>
      <c r="O160" s="65">
        <f t="shared" si="99"/>
        <v>0</v>
      </c>
    </row>
    <row r="161" spans="1:15" ht="12.2" customHeight="1" x14ac:dyDescent="0.25">
      <c r="A161" s="38"/>
      <c r="B161" s="39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2" customHeight="1" x14ac:dyDescent="0.25">
      <c r="A162" s="38"/>
      <c r="B162" s="207" t="s">
        <v>17</v>
      </c>
      <c r="C162" s="62" t="s">
        <v>61</v>
      </c>
      <c r="D162" s="66">
        <f>D157</f>
        <v>104073</v>
      </c>
      <c r="E162" s="66">
        <f t="shared" ref="E162:O162" si="100">D162+E157</f>
        <v>289270</v>
      </c>
      <c r="F162" s="66">
        <f t="shared" si="100"/>
        <v>437414</v>
      </c>
      <c r="G162" s="66">
        <f t="shared" si="100"/>
        <v>601119</v>
      </c>
      <c r="H162" s="66">
        <f t="shared" si="100"/>
        <v>745225</v>
      </c>
      <c r="I162" s="66">
        <f t="shared" si="100"/>
        <v>931018</v>
      </c>
      <c r="J162" s="66">
        <f t="shared" si="100"/>
        <v>1082979</v>
      </c>
      <c r="K162" s="66">
        <f t="shared" si="100"/>
        <v>1082979</v>
      </c>
      <c r="L162" s="66">
        <f t="shared" si="100"/>
        <v>1082979</v>
      </c>
      <c r="M162" s="66">
        <f t="shared" si="100"/>
        <v>1082979</v>
      </c>
      <c r="N162" s="66">
        <f t="shared" si="100"/>
        <v>1082979</v>
      </c>
      <c r="O162" s="66">
        <f t="shared" si="100"/>
        <v>1082979</v>
      </c>
    </row>
    <row r="163" spans="1:15" ht="12.2" customHeight="1" x14ac:dyDescent="0.25">
      <c r="A163" s="38"/>
      <c r="B163" s="207"/>
      <c r="C163" s="62" t="s">
        <v>62</v>
      </c>
      <c r="D163" s="66">
        <f>D158</f>
        <v>1627</v>
      </c>
      <c r="E163" s="66">
        <f t="shared" ref="E163:O163" si="101">D163+E158</f>
        <v>5268</v>
      </c>
      <c r="F163" s="66">
        <f t="shared" si="101"/>
        <v>7592</v>
      </c>
      <c r="G163" s="66">
        <f t="shared" si="101"/>
        <v>11526</v>
      </c>
      <c r="H163" s="66">
        <f t="shared" si="101"/>
        <v>16064</v>
      </c>
      <c r="I163" s="66">
        <f t="shared" si="101"/>
        <v>20485</v>
      </c>
      <c r="J163" s="66">
        <f t="shared" si="101"/>
        <v>23360</v>
      </c>
      <c r="K163" s="66">
        <f t="shared" si="101"/>
        <v>23360</v>
      </c>
      <c r="L163" s="66">
        <f t="shared" si="101"/>
        <v>23360</v>
      </c>
      <c r="M163" s="66">
        <f t="shared" si="101"/>
        <v>23360</v>
      </c>
      <c r="N163" s="66">
        <f t="shared" si="101"/>
        <v>23360</v>
      </c>
      <c r="O163" s="66">
        <f t="shared" si="101"/>
        <v>23360</v>
      </c>
    </row>
    <row r="164" spans="1:15" ht="12.2" customHeight="1" x14ac:dyDescent="0.25">
      <c r="A164" s="38"/>
      <c r="B164" s="207"/>
      <c r="C164" s="62" t="s">
        <v>63</v>
      </c>
      <c r="D164" s="66">
        <f>D159</f>
        <v>30</v>
      </c>
      <c r="E164" s="66">
        <f t="shared" ref="E164:O164" si="102">D164+E159</f>
        <v>246</v>
      </c>
      <c r="F164" s="66">
        <f t="shared" si="102"/>
        <v>475</v>
      </c>
      <c r="G164" s="66">
        <f t="shared" si="102"/>
        <v>606</v>
      </c>
      <c r="H164" s="66">
        <f t="shared" si="102"/>
        <v>777</v>
      </c>
      <c r="I164" s="66">
        <f t="shared" si="102"/>
        <v>895</v>
      </c>
      <c r="J164" s="66">
        <f t="shared" si="102"/>
        <v>1036</v>
      </c>
      <c r="K164" s="66">
        <f t="shared" si="102"/>
        <v>1036</v>
      </c>
      <c r="L164" s="66">
        <f t="shared" si="102"/>
        <v>1036</v>
      </c>
      <c r="M164" s="66">
        <f t="shared" si="102"/>
        <v>1036</v>
      </c>
      <c r="N164" s="66">
        <f t="shared" si="102"/>
        <v>1036</v>
      </c>
      <c r="O164" s="66">
        <f t="shared" si="102"/>
        <v>1036</v>
      </c>
    </row>
    <row r="165" spans="1:15" ht="12.2" customHeight="1" x14ac:dyDescent="0.25">
      <c r="A165" s="38"/>
      <c r="B165" s="207"/>
      <c r="C165" s="62" t="s">
        <v>64</v>
      </c>
      <c r="D165" s="66">
        <f t="shared" ref="D165:O165" si="103">SUM(D162:D164)</f>
        <v>105730</v>
      </c>
      <c r="E165" s="66">
        <f t="shared" si="103"/>
        <v>294784</v>
      </c>
      <c r="F165" s="66">
        <f t="shared" si="103"/>
        <v>445481</v>
      </c>
      <c r="G165" s="66">
        <f t="shared" si="103"/>
        <v>613251</v>
      </c>
      <c r="H165" s="66">
        <f t="shared" si="103"/>
        <v>762066</v>
      </c>
      <c r="I165" s="66">
        <f t="shared" si="103"/>
        <v>952398</v>
      </c>
      <c r="J165" s="66">
        <f t="shared" si="103"/>
        <v>1107375</v>
      </c>
      <c r="K165" s="66">
        <f t="shared" si="103"/>
        <v>1107375</v>
      </c>
      <c r="L165" s="66">
        <f t="shared" si="103"/>
        <v>1107375</v>
      </c>
      <c r="M165" s="66">
        <f t="shared" si="103"/>
        <v>1107375</v>
      </c>
      <c r="N165" s="66">
        <f t="shared" si="103"/>
        <v>1107375</v>
      </c>
      <c r="O165" s="66">
        <f t="shared" si="103"/>
        <v>1107375</v>
      </c>
    </row>
    <row r="166" spans="1:15" ht="12.2" customHeight="1" x14ac:dyDescent="0.25">
      <c r="A166" s="38"/>
      <c r="B166" s="39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2" customHeight="1" x14ac:dyDescent="0.25">
      <c r="A167" s="38"/>
      <c r="B167" s="207" t="s">
        <v>16</v>
      </c>
      <c r="C167" s="62" t="s">
        <v>65</v>
      </c>
      <c r="D167" s="67">
        <f>D157/D160</f>
        <v>0.98432800529650999</v>
      </c>
      <c r="E167" s="67">
        <f t="shared" ref="E167:O167" si="104">E157/E160</f>
        <v>0.97959842161498834</v>
      </c>
      <c r="F167" s="67">
        <f t="shared" si="104"/>
        <v>0.98305872047884169</v>
      </c>
      <c r="G167" s="67">
        <f t="shared" si="104"/>
        <v>0.97577039995231563</v>
      </c>
      <c r="H167" s="67">
        <f t="shared" si="104"/>
        <v>0.96835668447401135</v>
      </c>
      <c r="I167" s="67">
        <f t="shared" si="104"/>
        <v>0.9761521972132905</v>
      </c>
      <c r="J167" s="67">
        <f t="shared" si="104"/>
        <v>0.98053904772966316</v>
      </c>
      <c r="K167" s="67" t="e">
        <f t="shared" si="104"/>
        <v>#DIV/0!</v>
      </c>
      <c r="L167" s="67" t="e">
        <f t="shared" si="104"/>
        <v>#DIV/0!</v>
      </c>
      <c r="M167" s="67" t="e">
        <f t="shared" si="104"/>
        <v>#DIV/0!</v>
      </c>
      <c r="N167" s="67" t="e">
        <f t="shared" si="104"/>
        <v>#DIV/0!</v>
      </c>
      <c r="O167" s="67" t="e">
        <f t="shared" si="104"/>
        <v>#DIV/0!</v>
      </c>
    </row>
    <row r="168" spans="1:15" ht="12.2" customHeight="1" x14ac:dyDescent="0.25">
      <c r="A168" s="38"/>
      <c r="B168" s="207"/>
      <c r="C168" s="62" t="s">
        <v>66</v>
      </c>
      <c r="D168" s="67">
        <f>D158/D160</f>
        <v>1.5388253097512532E-2</v>
      </c>
      <c r="E168" s="67">
        <f t="shared" ref="E168:O168" si="105">E158/E160</f>
        <v>1.9259047679498979E-2</v>
      </c>
      <c r="F168" s="67">
        <f t="shared" si="105"/>
        <v>1.5421673955022329E-2</v>
      </c>
      <c r="G168" s="67">
        <f t="shared" si="105"/>
        <v>2.3448769148238659E-2</v>
      </c>
      <c r="H168" s="67">
        <f t="shared" si="105"/>
        <v>3.0494237812048516E-2</v>
      </c>
      <c r="I168" s="67">
        <f t="shared" si="105"/>
        <v>2.3227833469936742E-2</v>
      </c>
      <c r="J168" s="67">
        <f t="shared" si="105"/>
        <v>1.8551139846557877E-2</v>
      </c>
      <c r="K168" s="67" t="e">
        <f t="shared" si="105"/>
        <v>#DIV/0!</v>
      </c>
      <c r="L168" s="67" t="e">
        <f t="shared" si="105"/>
        <v>#DIV/0!</v>
      </c>
      <c r="M168" s="67" t="e">
        <f t="shared" si="105"/>
        <v>#DIV/0!</v>
      </c>
      <c r="N168" s="67" t="e">
        <f t="shared" si="105"/>
        <v>#DIV/0!</v>
      </c>
      <c r="O168" s="67" t="e">
        <f t="shared" si="105"/>
        <v>#DIV/0!</v>
      </c>
    </row>
    <row r="169" spans="1:15" ht="12.2" customHeight="1" x14ac:dyDescent="0.25">
      <c r="A169" s="38"/>
      <c r="B169" s="207"/>
      <c r="C169" s="62" t="s">
        <v>67</v>
      </c>
      <c r="D169" s="70">
        <f>D159/D160</f>
        <v>2.8374160597748982E-4</v>
      </c>
      <c r="E169" s="70">
        <f t="shared" ref="E169:O169" si="106">E159/E160</f>
        <v>1.1425307055127106E-3</v>
      </c>
      <c r="F169" s="70">
        <f t="shared" si="106"/>
        <v>1.5196055661360214E-3</v>
      </c>
      <c r="G169" s="68">
        <f t="shared" si="106"/>
        <v>7.8083089944566968E-4</v>
      </c>
      <c r="H169" s="68">
        <f t="shared" si="106"/>
        <v>1.1490777139401269E-3</v>
      </c>
      <c r="I169" s="68">
        <f t="shared" si="106"/>
        <v>6.1996931677279696E-4</v>
      </c>
      <c r="J169" s="70">
        <f t="shared" si="106"/>
        <v>9.0981242377901239E-4</v>
      </c>
      <c r="K169" s="70" t="e">
        <f t="shared" si="106"/>
        <v>#DIV/0!</v>
      </c>
      <c r="L169" s="68" t="e">
        <f t="shared" si="106"/>
        <v>#DIV/0!</v>
      </c>
      <c r="M169" s="68" t="e">
        <f t="shared" si="106"/>
        <v>#DIV/0!</v>
      </c>
      <c r="N169" s="68" t="e">
        <f t="shared" si="106"/>
        <v>#DIV/0!</v>
      </c>
      <c r="O169" s="68" t="e">
        <f t="shared" si="106"/>
        <v>#DIV/0!</v>
      </c>
    </row>
    <row r="170" spans="1:15" ht="12.2" customHeight="1" x14ac:dyDescent="0.25">
      <c r="A170" s="38"/>
      <c r="B170" s="207"/>
      <c r="C170" s="62" t="s">
        <v>68</v>
      </c>
      <c r="D170" s="69">
        <f t="shared" ref="D170:O170" si="107">SUM(D167:D169)</f>
        <v>1</v>
      </c>
      <c r="E170" s="69">
        <f t="shared" si="107"/>
        <v>1</v>
      </c>
      <c r="F170" s="69">
        <f t="shared" si="107"/>
        <v>1</v>
      </c>
      <c r="G170" s="69">
        <f t="shared" si="107"/>
        <v>1</v>
      </c>
      <c r="H170" s="69">
        <f t="shared" si="107"/>
        <v>1</v>
      </c>
      <c r="I170" s="69">
        <f t="shared" si="107"/>
        <v>1</v>
      </c>
      <c r="J170" s="69">
        <f t="shared" si="107"/>
        <v>1</v>
      </c>
      <c r="K170" s="69" t="e">
        <f t="shared" si="107"/>
        <v>#DIV/0!</v>
      </c>
      <c r="L170" s="69" t="e">
        <f t="shared" si="107"/>
        <v>#DIV/0!</v>
      </c>
      <c r="M170" s="69" t="e">
        <f t="shared" si="107"/>
        <v>#DIV/0!</v>
      </c>
      <c r="N170" s="69" t="e">
        <f t="shared" si="107"/>
        <v>#DIV/0!</v>
      </c>
      <c r="O170" s="69" t="e">
        <f t="shared" si="107"/>
        <v>#DIV/0!</v>
      </c>
    </row>
    <row r="171" spans="1:15" ht="12.2" customHeight="1" x14ac:dyDescent="0.25">
      <c r="A171" s="38"/>
      <c r="B171" s="39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2" customHeight="1" x14ac:dyDescent="0.25">
      <c r="A172" s="38"/>
      <c r="B172" s="207" t="s">
        <v>17</v>
      </c>
      <c r="C172" s="62" t="s">
        <v>65</v>
      </c>
      <c r="D172" s="67">
        <f>D162/D165</f>
        <v>0.98432800529650999</v>
      </c>
      <c r="E172" s="67">
        <f t="shared" ref="E172:O172" si="108">E162/E165</f>
        <v>0.98129477854971781</v>
      </c>
      <c r="F172" s="67">
        <f t="shared" si="108"/>
        <v>0.9818914835874033</v>
      </c>
      <c r="G172" s="67">
        <f t="shared" si="108"/>
        <v>0.98021690955253238</v>
      </c>
      <c r="H172" s="67">
        <f t="shared" si="108"/>
        <v>0.97790086422960742</v>
      </c>
      <c r="I172" s="67">
        <f t="shared" si="108"/>
        <v>0.9775514018299073</v>
      </c>
      <c r="J172" s="67">
        <f t="shared" si="108"/>
        <v>0.97796952251947178</v>
      </c>
      <c r="K172" s="67">
        <f t="shared" si="108"/>
        <v>0.97796952251947178</v>
      </c>
      <c r="L172" s="67">
        <f t="shared" si="108"/>
        <v>0.97796952251947178</v>
      </c>
      <c r="M172" s="67">
        <f t="shared" si="108"/>
        <v>0.97796952251947178</v>
      </c>
      <c r="N172" s="67">
        <f t="shared" si="108"/>
        <v>0.97796952251947178</v>
      </c>
      <c r="O172" s="67">
        <f t="shared" si="108"/>
        <v>0.97796952251947178</v>
      </c>
    </row>
    <row r="173" spans="1:15" ht="12.2" customHeight="1" x14ac:dyDescent="0.25">
      <c r="A173" s="38"/>
      <c r="B173" s="207"/>
      <c r="C173" s="62" t="s">
        <v>66</v>
      </c>
      <c r="D173" s="67">
        <f>D163/D165</f>
        <v>1.5388253097512532E-2</v>
      </c>
      <c r="E173" s="67">
        <f t="shared" ref="E173:O173" si="109">E163/E165</f>
        <v>1.7870712114633088E-2</v>
      </c>
      <c r="F173" s="67">
        <f t="shared" si="109"/>
        <v>1.7042253204962724E-2</v>
      </c>
      <c r="G173" s="67">
        <f t="shared" si="109"/>
        <v>1.8794914317302378E-2</v>
      </c>
      <c r="H173" s="67">
        <f t="shared" si="109"/>
        <v>2.1079539042550121E-2</v>
      </c>
      <c r="I173" s="67">
        <f t="shared" si="109"/>
        <v>2.1508864991316656E-2</v>
      </c>
      <c r="J173" s="67">
        <f t="shared" si="109"/>
        <v>2.1094931707867706E-2</v>
      </c>
      <c r="K173" s="67">
        <f t="shared" si="109"/>
        <v>2.1094931707867706E-2</v>
      </c>
      <c r="L173" s="67">
        <f t="shared" si="109"/>
        <v>2.1094931707867706E-2</v>
      </c>
      <c r="M173" s="67">
        <f t="shared" si="109"/>
        <v>2.1094931707867706E-2</v>
      </c>
      <c r="N173" s="67">
        <f t="shared" si="109"/>
        <v>2.1094931707867706E-2</v>
      </c>
      <c r="O173" s="67">
        <f t="shared" si="109"/>
        <v>2.1094931707867706E-2</v>
      </c>
    </row>
    <row r="174" spans="1:15" ht="12.2" customHeight="1" x14ac:dyDescent="0.25">
      <c r="A174" s="38"/>
      <c r="B174" s="207"/>
      <c r="C174" s="62" t="s">
        <v>67</v>
      </c>
      <c r="D174" s="68">
        <f>D164/D165</f>
        <v>2.8374160597748982E-4</v>
      </c>
      <c r="E174" s="70">
        <f t="shared" ref="E174:O174" si="110">E164/E165</f>
        <v>8.3450933564915332E-4</v>
      </c>
      <c r="F174" s="68">
        <f t="shared" si="110"/>
        <v>1.0662632076339955E-3</v>
      </c>
      <c r="G174" s="68">
        <f t="shared" si="110"/>
        <v>9.8817613016529944E-4</v>
      </c>
      <c r="H174" s="68">
        <f t="shared" si="110"/>
        <v>1.0195967278424703E-3</v>
      </c>
      <c r="I174" s="68">
        <f t="shared" si="110"/>
        <v>9.3973317877609993E-4</v>
      </c>
      <c r="J174" s="68">
        <f t="shared" si="110"/>
        <v>9.3554577266057113E-4</v>
      </c>
      <c r="K174" s="70">
        <f t="shared" si="110"/>
        <v>9.3554577266057113E-4</v>
      </c>
      <c r="L174" s="68">
        <f t="shared" si="110"/>
        <v>9.3554577266057113E-4</v>
      </c>
      <c r="M174" s="68">
        <f t="shared" si="110"/>
        <v>9.3554577266057113E-4</v>
      </c>
      <c r="N174" s="68">
        <f t="shared" si="110"/>
        <v>9.3554577266057113E-4</v>
      </c>
      <c r="O174" s="68">
        <f t="shared" si="110"/>
        <v>9.3554577266057113E-4</v>
      </c>
    </row>
    <row r="175" spans="1:15" ht="12.2" customHeight="1" x14ac:dyDescent="0.25">
      <c r="A175" s="38"/>
      <c r="B175" s="207"/>
      <c r="C175" s="62" t="s">
        <v>68</v>
      </c>
      <c r="D175" s="69">
        <f t="shared" ref="D175:O175" si="111">SUM(D172:D174)</f>
        <v>1</v>
      </c>
      <c r="E175" s="69">
        <f t="shared" si="111"/>
        <v>1</v>
      </c>
      <c r="F175" s="69">
        <f t="shared" si="111"/>
        <v>1</v>
      </c>
      <c r="G175" s="69">
        <f t="shared" si="111"/>
        <v>1</v>
      </c>
      <c r="H175" s="69">
        <f t="shared" si="111"/>
        <v>1</v>
      </c>
      <c r="I175" s="69">
        <f t="shared" si="111"/>
        <v>1</v>
      </c>
      <c r="J175" s="69">
        <f t="shared" si="111"/>
        <v>1</v>
      </c>
      <c r="K175" s="69">
        <f t="shared" si="111"/>
        <v>1</v>
      </c>
      <c r="L175" s="69">
        <f t="shared" si="111"/>
        <v>1</v>
      </c>
      <c r="M175" s="69">
        <f t="shared" si="111"/>
        <v>1</v>
      </c>
      <c r="N175" s="69">
        <f t="shared" si="111"/>
        <v>1</v>
      </c>
      <c r="O175" s="69">
        <f t="shared" si="111"/>
        <v>1</v>
      </c>
    </row>
    <row r="176" spans="1:15" ht="12.2" customHeight="1" x14ac:dyDescent="0.2"/>
    <row r="177" spans="1:15" ht="12.2" customHeight="1" x14ac:dyDescent="0.25">
      <c r="A177" s="38" t="s">
        <v>59</v>
      </c>
      <c r="B177" s="61" t="s">
        <v>73</v>
      </c>
      <c r="C177" s="62"/>
      <c r="D177" s="63" t="s">
        <v>4</v>
      </c>
      <c r="E177" s="63" t="s">
        <v>5</v>
      </c>
      <c r="F177" s="63" t="s">
        <v>6</v>
      </c>
      <c r="G177" s="63" t="s">
        <v>7</v>
      </c>
      <c r="H177" s="63" t="s">
        <v>38</v>
      </c>
      <c r="I177" s="63" t="s">
        <v>9</v>
      </c>
      <c r="J177" s="63" t="s">
        <v>10</v>
      </c>
      <c r="K177" s="63" t="s">
        <v>39</v>
      </c>
      <c r="L177" s="63" t="s">
        <v>12</v>
      </c>
      <c r="M177" s="63" t="s">
        <v>40</v>
      </c>
      <c r="N177" s="63" t="s">
        <v>41</v>
      </c>
      <c r="O177" s="63" t="s">
        <v>42</v>
      </c>
    </row>
    <row r="178" spans="1:15" ht="12.2" customHeight="1" x14ac:dyDescent="0.25">
      <c r="A178" s="38"/>
      <c r="B178" s="207" t="s">
        <v>16</v>
      </c>
      <c r="C178" s="62" t="s">
        <v>61</v>
      </c>
      <c r="D178" s="71">
        <v>201274</v>
      </c>
      <c r="E178" s="71">
        <v>224749</v>
      </c>
      <c r="F178" s="71">
        <v>166209</v>
      </c>
      <c r="G178" s="71">
        <v>228959</v>
      </c>
      <c r="H178" s="71">
        <v>220690</v>
      </c>
      <c r="I178" s="71">
        <v>226828</v>
      </c>
      <c r="J178" s="71">
        <v>199818</v>
      </c>
      <c r="K178" s="71"/>
      <c r="L178" s="71"/>
      <c r="M178" s="86"/>
      <c r="N178" s="71"/>
      <c r="O178" s="71"/>
    </row>
    <row r="179" spans="1:15" ht="12.2" customHeight="1" x14ac:dyDescent="0.25">
      <c r="A179" s="38"/>
      <c r="B179" s="207"/>
      <c r="C179" s="62" t="s">
        <v>62</v>
      </c>
      <c r="D179" s="71">
        <v>358</v>
      </c>
      <c r="E179" s="71">
        <v>475</v>
      </c>
      <c r="F179" s="71">
        <v>381</v>
      </c>
      <c r="G179" s="71">
        <v>1415</v>
      </c>
      <c r="H179" s="71">
        <v>837</v>
      </c>
      <c r="I179" s="71">
        <v>1268</v>
      </c>
      <c r="J179" s="71">
        <v>1861</v>
      </c>
      <c r="K179" s="71"/>
      <c r="L179" s="71"/>
      <c r="M179" s="86"/>
      <c r="N179" s="71"/>
      <c r="O179" s="71"/>
    </row>
    <row r="180" spans="1:15" ht="12.2" customHeight="1" x14ac:dyDescent="0.25">
      <c r="A180" s="38"/>
      <c r="B180" s="207"/>
      <c r="C180" s="62" t="s">
        <v>63</v>
      </c>
      <c r="D180" s="71">
        <v>77</v>
      </c>
      <c r="E180" s="71">
        <v>142</v>
      </c>
      <c r="F180" s="71">
        <v>77</v>
      </c>
      <c r="G180" s="71">
        <v>164</v>
      </c>
      <c r="H180" s="71">
        <v>152</v>
      </c>
      <c r="I180" s="71">
        <v>80</v>
      </c>
      <c r="J180" s="71">
        <v>117</v>
      </c>
      <c r="K180" s="71"/>
      <c r="L180" s="71"/>
      <c r="M180" s="86"/>
      <c r="N180" s="71"/>
      <c r="O180" s="71"/>
    </row>
    <row r="181" spans="1:15" ht="12.2" customHeight="1" x14ac:dyDescent="0.25">
      <c r="A181" s="38"/>
      <c r="B181" s="207"/>
      <c r="C181" s="62" t="s">
        <v>64</v>
      </c>
      <c r="D181" s="66">
        <f t="shared" ref="D181:O181" si="112">SUM(D178:D180)</f>
        <v>201709</v>
      </c>
      <c r="E181" s="65">
        <f t="shared" si="112"/>
        <v>225366</v>
      </c>
      <c r="F181" s="65">
        <f t="shared" si="112"/>
        <v>166667</v>
      </c>
      <c r="G181" s="65">
        <f t="shared" si="112"/>
        <v>230538</v>
      </c>
      <c r="H181" s="65">
        <f t="shared" si="112"/>
        <v>221679</v>
      </c>
      <c r="I181" s="65">
        <f t="shared" si="112"/>
        <v>228176</v>
      </c>
      <c r="J181" s="65">
        <f t="shared" si="112"/>
        <v>201796</v>
      </c>
      <c r="K181" s="65">
        <f t="shared" si="112"/>
        <v>0</v>
      </c>
      <c r="L181" s="65">
        <f t="shared" si="112"/>
        <v>0</v>
      </c>
      <c r="M181" s="65">
        <f t="shared" si="112"/>
        <v>0</v>
      </c>
      <c r="N181" s="65">
        <f t="shared" si="112"/>
        <v>0</v>
      </c>
      <c r="O181" s="65">
        <f t="shared" si="112"/>
        <v>0</v>
      </c>
    </row>
    <row r="182" spans="1:15" ht="12.2" customHeight="1" x14ac:dyDescent="0.25">
      <c r="A182" s="38"/>
      <c r="B182" s="39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2" customHeight="1" x14ac:dyDescent="0.25">
      <c r="A183" s="38"/>
      <c r="B183" s="207" t="s">
        <v>17</v>
      </c>
      <c r="C183" s="62" t="s">
        <v>61</v>
      </c>
      <c r="D183" s="66">
        <f>D178</f>
        <v>201274</v>
      </c>
      <c r="E183" s="66">
        <f t="shared" ref="E183:O183" si="113">D183+E178</f>
        <v>426023</v>
      </c>
      <c r="F183" s="66">
        <f t="shared" si="113"/>
        <v>592232</v>
      </c>
      <c r="G183" s="66">
        <f t="shared" si="113"/>
        <v>821191</v>
      </c>
      <c r="H183" s="66">
        <f t="shared" si="113"/>
        <v>1041881</v>
      </c>
      <c r="I183" s="66">
        <f t="shared" si="113"/>
        <v>1268709</v>
      </c>
      <c r="J183" s="66">
        <f t="shared" si="113"/>
        <v>1468527</v>
      </c>
      <c r="K183" s="66">
        <f t="shared" si="113"/>
        <v>1468527</v>
      </c>
      <c r="L183" s="66">
        <f t="shared" si="113"/>
        <v>1468527</v>
      </c>
      <c r="M183" s="66">
        <f t="shared" si="113"/>
        <v>1468527</v>
      </c>
      <c r="N183" s="66">
        <f t="shared" si="113"/>
        <v>1468527</v>
      </c>
      <c r="O183" s="66">
        <f t="shared" si="113"/>
        <v>1468527</v>
      </c>
    </row>
    <row r="184" spans="1:15" ht="12.2" customHeight="1" x14ac:dyDescent="0.25">
      <c r="A184" s="38"/>
      <c r="B184" s="207"/>
      <c r="C184" s="62" t="s">
        <v>62</v>
      </c>
      <c r="D184" s="66">
        <f>D179</f>
        <v>358</v>
      </c>
      <c r="E184" s="66">
        <f t="shared" ref="E184:O184" si="114">D184+E179</f>
        <v>833</v>
      </c>
      <c r="F184" s="66">
        <f t="shared" si="114"/>
        <v>1214</v>
      </c>
      <c r="G184" s="66">
        <f t="shared" si="114"/>
        <v>2629</v>
      </c>
      <c r="H184" s="66">
        <f t="shared" si="114"/>
        <v>3466</v>
      </c>
      <c r="I184" s="66">
        <f t="shared" si="114"/>
        <v>4734</v>
      </c>
      <c r="J184" s="66">
        <f t="shared" si="114"/>
        <v>6595</v>
      </c>
      <c r="K184" s="66">
        <f t="shared" si="114"/>
        <v>6595</v>
      </c>
      <c r="L184" s="66">
        <f t="shared" si="114"/>
        <v>6595</v>
      </c>
      <c r="M184" s="66">
        <f t="shared" si="114"/>
        <v>6595</v>
      </c>
      <c r="N184" s="66">
        <f t="shared" si="114"/>
        <v>6595</v>
      </c>
      <c r="O184" s="66">
        <f t="shared" si="114"/>
        <v>6595</v>
      </c>
    </row>
    <row r="185" spans="1:15" ht="12.2" customHeight="1" x14ac:dyDescent="0.25">
      <c r="A185" s="38"/>
      <c r="B185" s="207"/>
      <c r="C185" s="62" t="s">
        <v>63</v>
      </c>
      <c r="D185" s="66">
        <f>D180</f>
        <v>77</v>
      </c>
      <c r="E185" s="66">
        <f t="shared" ref="E185:O185" si="115">D185+E180</f>
        <v>219</v>
      </c>
      <c r="F185" s="66">
        <f t="shared" si="115"/>
        <v>296</v>
      </c>
      <c r="G185" s="66">
        <f t="shared" si="115"/>
        <v>460</v>
      </c>
      <c r="H185" s="66">
        <f t="shared" si="115"/>
        <v>612</v>
      </c>
      <c r="I185" s="66">
        <f t="shared" si="115"/>
        <v>692</v>
      </c>
      <c r="J185" s="66">
        <f t="shared" si="115"/>
        <v>809</v>
      </c>
      <c r="K185" s="66">
        <f t="shared" si="115"/>
        <v>809</v>
      </c>
      <c r="L185" s="66">
        <f t="shared" si="115"/>
        <v>809</v>
      </c>
      <c r="M185" s="66">
        <f t="shared" si="115"/>
        <v>809</v>
      </c>
      <c r="N185" s="66">
        <f t="shared" si="115"/>
        <v>809</v>
      </c>
      <c r="O185" s="66">
        <f t="shared" si="115"/>
        <v>809</v>
      </c>
    </row>
    <row r="186" spans="1:15" ht="12.2" customHeight="1" x14ac:dyDescent="0.25">
      <c r="A186" s="38"/>
      <c r="B186" s="207"/>
      <c r="C186" s="62" t="s">
        <v>64</v>
      </c>
      <c r="D186" s="66">
        <f t="shared" ref="D186:O186" si="116">SUM(D183:D185)</f>
        <v>201709</v>
      </c>
      <c r="E186" s="66">
        <f t="shared" si="116"/>
        <v>427075</v>
      </c>
      <c r="F186" s="66">
        <f t="shared" si="116"/>
        <v>593742</v>
      </c>
      <c r="G186" s="66">
        <f t="shared" si="116"/>
        <v>824280</v>
      </c>
      <c r="H186" s="66">
        <f t="shared" si="116"/>
        <v>1045959</v>
      </c>
      <c r="I186" s="66">
        <f t="shared" si="116"/>
        <v>1274135</v>
      </c>
      <c r="J186" s="66">
        <f t="shared" si="116"/>
        <v>1475931</v>
      </c>
      <c r="K186" s="66">
        <f t="shared" si="116"/>
        <v>1475931</v>
      </c>
      <c r="L186" s="66">
        <f t="shared" si="116"/>
        <v>1475931</v>
      </c>
      <c r="M186" s="66">
        <f t="shared" si="116"/>
        <v>1475931</v>
      </c>
      <c r="N186" s="66">
        <f t="shared" si="116"/>
        <v>1475931</v>
      </c>
      <c r="O186" s="66">
        <f t="shared" si="116"/>
        <v>1475931</v>
      </c>
    </row>
    <row r="187" spans="1:15" ht="12.2" customHeight="1" x14ac:dyDescent="0.25">
      <c r="A187" s="38"/>
      <c r="B187" s="39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2" customHeight="1" x14ac:dyDescent="0.25">
      <c r="A188" s="38"/>
      <c r="B188" s="207" t="s">
        <v>16</v>
      </c>
      <c r="C188" s="62" t="s">
        <v>65</v>
      </c>
      <c r="D188" s="67">
        <f>D178/D181</f>
        <v>0.99784342790852165</v>
      </c>
      <c r="E188" s="67">
        <f t="shared" ref="E188:O188" si="117">E178/E181</f>
        <v>0.99726223121500135</v>
      </c>
      <c r="F188" s="67">
        <f t="shared" si="117"/>
        <v>0.99725200549598902</v>
      </c>
      <c r="G188" s="67">
        <f t="shared" si="117"/>
        <v>0.99315080377204623</v>
      </c>
      <c r="H188" s="67">
        <f t="shared" si="117"/>
        <v>0.99553859409326095</v>
      </c>
      <c r="I188" s="67">
        <f t="shared" si="117"/>
        <v>0.99409227964378377</v>
      </c>
      <c r="J188" s="67">
        <f t="shared" si="117"/>
        <v>0.99019802176455429</v>
      </c>
      <c r="K188" s="67" t="e">
        <f t="shared" si="117"/>
        <v>#DIV/0!</v>
      </c>
      <c r="L188" s="67" t="e">
        <f t="shared" si="117"/>
        <v>#DIV/0!</v>
      </c>
      <c r="M188" s="67" t="e">
        <f t="shared" si="117"/>
        <v>#DIV/0!</v>
      </c>
      <c r="N188" s="67" t="e">
        <f t="shared" si="117"/>
        <v>#DIV/0!</v>
      </c>
      <c r="O188" s="67" t="e">
        <f t="shared" si="117"/>
        <v>#DIV/0!</v>
      </c>
    </row>
    <row r="189" spans="1:15" ht="12.2" customHeight="1" x14ac:dyDescent="0.25">
      <c r="A189" s="38"/>
      <c r="B189" s="207"/>
      <c r="C189" s="62" t="s">
        <v>66</v>
      </c>
      <c r="D189" s="67">
        <f>D179/D181</f>
        <v>1.7748340431016959E-3</v>
      </c>
      <c r="E189" s="67">
        <f t="shared" ref="E189:O189" si="118">E179/E181</f>
        <v>2.1076826140589088E-3</v>
      </c>
      <c r="F189" s="67">
        <f t="shared" si="118"/>
        <v>2.2859954280091441E-3</v>
      </c>
      <c r="G189" s="67">
        <f t="shared" si="118"/>
        <v>6.1378167590592442E-3</v>
      </c>
      <c r="H189" s="67">
        <f t="shared" si="118"/>
        <v>3.7757297714262517E-3</v>
      </c>
      <c r="I189" s="67">
        <f t="shared" si="118"/>
        <v>5.5571138068859129E-3</v>
      </c>
      <c r="J189" s="67">
        <f t="shared" si="118"/>
        <v>9.2221847806695876E-3</v>
      </c>
      <c r="K189" s="67" t="e">
        <f t="shared" si="118"/>
        <v>#DIV/0!</v>
      </c>
      <c r="L189" s="67" t="e">
        <f t="shared" si="118"/>
        <v>#DIV/0!</v>
      </c>
      <c r="M189" s="67" t="e">
        <f t="shared" si="118"/>
        <v>#DIV/0!</v>
      </c>
      <c r="N189" s="67" t="e">
        <f t="shared" si="118"/>
        <v>#DIV/0!</v>
      </c>
      <c r="O189" s="67" t="e">
        <f t="shared" si="118"/>
        <v>#DIV/0!</v>
      </c>
    </row>
    <row r="190" spans="1:15" ht="12.2" customHeight="1" x14ac:dyDescent="0.25">
      <c r="A190" s="38"/>
      <c r="B190" s="207"/>
      <c r="C190" s="62" t="s">
        <v>67</v>
      </c>
      <c r="D190" s="70">
        <f>D180/D181</f>
        <v>3.8173804837662178E-4</v>
      </c>
      <c r="E190" s="70">
        <f t="shared" ref="E190:O190" si="119">E180/E181</f>
        <v>6.300861709397158E-4</v>
      </c>
      <c r="F190" s="70">
        <f t="shared" si="119"/>
        <v>4.6199907600184798E-4</v>
      </c>
      <c r="G190" s="68">
        <f t="shared" si="119"/>
        <v>7.1137946889449891E-4</v>
      </c>
      <c r="H190" s="68">
        <f t="shared" si="119"/>
        <v>6.8567613531277203E-4</v>
      </c>
      <c r="I190" s="68">
        <f t="shared" si="119"/>
        <v>3.5060654933034147E-4</v>
      </c>
      <c r="J190" s="70">
        <f t="shared" si="119"/>
        <v>5.7979345477611054E-4</v>
      </c>
      <c r="K190" s="70" t="e">
        <f t="shared" si="119"/>
        <v>#DIV/0!</v>
      </c>
      <c r="L190" s="68" t="e">
        <f t="shared" si="119"/>
        <v>#DIV/0!</v>
      </c>
      <c r="M190" s="68" t="e">
        <f t="shared" si="119"/>
        <v>#DIV/0!</v>
      </c>
      <c r="N190" s="68" t="e">
        <f t="shared" si="119"/>
        <v>#DIV/0!</v>
      </c>
      <c r="O190" s="68" t="e">
        <f t="shared" si="119"/>
        <v>#DIV/0!</v>
      </c>
    </row>
    <row r="191" spans="1:15" ht="12.2" customHeight="1" x14ac:dyDescent="0.25">
      <c r="A191" s="38"/>
      <c r="B191" s="207"/>
      <c r="C191" s="62" t="s">
        <v>68</v>
      </c>
      <c r="D191" s="69">
        <f t="shared" ref="D191:O191" si="120">SUM(D188:D190)</f>
        <v>1</v>
      </c>
      <c r="E191" s="69">
        <f t="shared" si="120"/>
        <v>1</v>
      </c>
      <c r="F191" s="69">
        <f t="shared" si="120"/>
        <v>1</v>
      </c>
      <c r="G191" s="69">
        <f t="shared" si="120"/>
        <v>1</v>
      </c>
      <c r="H191" s="69">
        <f t="shared" si="120"/>
        <v>1</v>
      </c>
      <c r="I191" s="69">
        <f t="shared" si="120"/>
        <v>1</v>
      </c>
      <c r="J191" s="69">
        <f t="shared" si="120"/>
        <v>1</v>
      </c>
      <c r="K191" s="69" t="e">
        <f t="shared" si="120"/>
        <v>#DIV/0!</v>
      </c>
      <c r="L191" s="69" t="e">
        <f t="shared" si="120"/>
        <v>#DIV/0!</v>
      </c>
      <c r="M191" s="69" t="e">
        <f t="shared" si="120"/>
        <v>#DIV/0!</v>
      </c>
      <c r="N191" s="69" t="e">
        <f t="shared" si="120"/>
        <v>#DIV/0!</v>
      </c>
      <c r="O191" s="69" t="e">
        <f t="shared" si="120"/>
        <v>#DIV/0!</v>
      </c>
    </row>
    <row r="192" spans="1:15" ht="12.2" customHeight="1" x14ac:dyDescent="0.25">
      <c r="A192" s="38"/>
      <c r="B192" s="39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2" customHeight="1" x14ac:dyDescent="0.25">
      <c r="A193" s="38"/>
      <c r="B193" s="207" t="s">
        <v>17</v>
      </c>
      <c r="C193" s="62" t="s">
        <v>65</v>
      </c>
      <c r="D193" s="67">
        <f>D183/D186</f>
        <v>0.99784342790852165</v>
      </c>
      <c r="E193" s="67">
        <f t="shared" ref="E193:O193" si="121">E183/E186</f>
        <v>0.99753673242404728</v>
      </c>
      <c r="F193" s="67">
        <f t="shared" si="121"/>
        <v>0.99745680783909507</v>
      </c>
      <c r="G193" s="67">
        <f t="shared" si="121"/>
        <v>0.99625248701897418</v>
      </c>
      <c r="H193" s="67">
        <f t="shared" si="121"/>
        <v>0.99610118561052585</v>
      </c>
      <c r="I193" s="67">
        <f t="shared" si="121"/>
        <v>0.99574142457431902</v>
      </c>
      <c r="J193" s="67">
        <f t="shared" si="121"/>
        <v>0.99498350532646851</v>
      </c>
      <c r="K193" s="67">
        <f t="shared" si="121"/>
        <v>0.99498350532646851</v>
      </c>
      <c r="L193" s="67">
        <f t="shared" si="121"/>
        <v>0.99498350532646851</v>
      </c>
      <c r="M193" s="67">
        <f t="shared" si="121"/>
        <v>0.99498350532646851</v>
      </c>
      <c r="N193" s="67">
        <f t="shared" si="121"/>
        <v>0.99498350532646851</v>
      </c>
      <c r="O193" s="67">
        <f t="shared" si="121"/>
        <v>0.99498350532646851</v>
      </c>
    </row>
    <row r="194" spans="1:15" ht="12.2" customHeight="1" x14ac:dyDescent="0.25">
      <c r="A194" s="38"/>
      <c r="B194" s="207"/>
      <c r="C194" s="62" t="s">
        <v>66</v>
      </c>
      <c r="D194" s="67">
        <f>D184/D186</f>
        <v>1.7748340431016959E-3</v>
      </c>
      <c r="E194" s="67">
        <f t="shared" ref="E194:O194" si="122">E184/E186</f>
        <v>1.9504770824796582E-3</v>
      </c>
      <c r="F194" s="67">
        <f t="shared" si="122"/>
        <v>2.0446591280387778E-3</v>
      </c>
      <c r="G194" s="67">
        <f t="shared" si="122"/>
        <v>3.1894501868297179E-3</v>
      </c>
      <c r="H194" s="67">
        <f t="shared" si="122"/>
        <v>3.3137054129272754E-3</v>
      </c>
      <c r="I194" s="67">
        <f t="shared" si="122"/>
        <v>3.7154618623615235E-3</v>
      </c>
      <c r="J194" s="67">
        <f t="shared" si="122"/>
        <v>4.4683660686034785E-3</v>
      </c>
      <c r="K194" s="67">
        <f t="shared" si="122"/>
        <v>4.4683660686034785E-3</v>
      </c>
      <c r="L194" s="67">
        <f t="shared" si="122"/>
        <v>4.4683660686034785E-3</v>
      </c>
      <c r="M194" s="67">
        <f t="shared" si="122"/>
        <v>4.4683660686034785E-3</v>
      </c>
      <c r="N194" s="67">
        <f t="shared" si="122"/>
        <v>4.4683660686034785E-3</v>
      </c>
      <c r="O194" s="67">
        <f t="shared" si="122"/>
        <v>4.4683660686034785E-3</v>
      </c>
    </row>
    <row r="195" spans="1:15" ht="12.2" customHeight="1" x14ac:dyDescent="0.25">
      <c r="A195" s="38"/>
      <c r="B195" s="207"/>
      <c r="C195" s="62" t="s">
        <v>67</v>
      </c>
      <c r="D195" s="68">
        <f>D185/D186</f>
        <v>3.8173804837662178E-4</v>
      </c>
      <c r="E195" s="70">
        <f t="shared" ref="E195:O195" si="123">E185/E186</f>
        <v>5.1279049347304341E-4</v>
      </c>
      <c r="F195" s="68">
        <f t="shared" si="123"/>
        <v>4.9853303286612703E-4</v>
      </c>
      <c r="G195" s="68">
        <f t="shared" si="123"/>
        <v>5.580627941961469E-4</v>
      </c>
      <c r="H195" s="68">
        <f t="shared" si="123"/>
        <v>5.8510897654688186E-4</v>
      </c>
      <c r="I195" s="68">
        <f t="shared" si="123"/>
        <v>5.4311356331942845E-4</v>
      </c>
      <c r="J195" s="68">
        <f t="shared" si="123"/>
        <v>5.4812860492800812E-4</v>
      </c>
      <c r="K195" s="70">
        <f t="shared" si="123"/>
        <v>5.4812860492800812E-4</v>
      </c>
      <c r="L195" s="68">
        <f t="shared" si="123"/>
        <v>5.4812860492800812E-4</v>
      </c>
      <c r="M195" s="68">
        <f t="shared" si="123"/>
        <v>5.4812860492800812E-4</v>
      </c>
      <c r="N195" s="68">
        <f t="shared" si="123"/>
        <v>5.4812860492800812E-4</v>
      </c>
      <c r="O195" s="68">
        <f t="shared" si="123"/>
        <v>5.4812860492800812E-4</v>
      </c>
    </row>
    <row r="196" spans="1:15" ht="12.2" customHeight="1" x14ac:dyDescent="0.25">
      <c r="A196" s="38"/>
      <c r="B196" s="207"/>
      <c r="C196" s="62" t="s">
        <v>68</v>
      </c>
      <c r="D196" s="69">
        <f t="shared" ref="D196:O196" si="124">SUM(D193:D195)</f>
        <v>1</v>
      </c>
      <c r="E196" s="69">
        <f t="shared" si="124"/>
        <v>1</v>
      </c>
      <c r="F196" s="69">
        <f t="shared" si="124"/>
        <v>1</v>
      </c>
      <c r="G196" s="69">
        <f t="shared" si="124"/>
        <v>1</v>
      </c>
      <c r="H196" s="69">
        <f t="shared" si="124"/>
        <v>1</v>
      </c>
      <c r="I196" s="69">
        <f t="shared" si="124"/>
        <v>0.99999999999999989</v>
      </c>
      <c r="J196" s="69">
        <f t="shared" si="124"/>
        <v>1</v>
      </c>
      <c r="K196" s="69">
        <f t="shared" si="124"/>
        <v>1</v>
      </c>
      <c r="L196" s="69">
        <f t="shared" si="124"/>
        <v>1</v>
      </c>
      <c r="M196" s="69">
        <f t="shared" si="124"/>
        <v>1</v>
      </c>
      <c r="N196" s="69">
        <f t="shared" si="124"/>
        <v>1</v>
      </c>
      <c r="O196" s="69">
        <f t="shared" si="124"/>
        <v>1</v>
      </c>
    </row>
    <row r="197" spans="1:15" ht="12.2" customHeight="1" x14ac:dyDescent="0.2"/>
    <row r="198" spans="1:15" ht="12.2" customHeight="1" x14ac:dyDescent="0.25">
      <c r="A198" s="38" t="s">
        <v>59</v>
      </c>
      <c r="B198" s="61" t="s">
        <v>81</v>
      </c>
      <c r="C198" s="62"/>
      <c r="D198" s="63" t="s">
        <v>4</v>
      </c>
      <c r="E198" s="63" t="s">
        <v>5</v>
      </c>
      <c r="F198" s="63" t="s">
        <v>6</v>
      </c>
      <c r="G198" s="63" t="s">
        <v>7</v>
      </c>
      <c r="H198" s="63" t="s">
        <v>38</v>
      </c>
      <c r="I198" s="63" t="s">
        <v>9</v>
      </c>
      <c r="J198" s="63" t="s">
        <v>10</v>
      </c>
      <c r="K198" s="63" t="s">
        <v>39</v>
      </c>
      <c r="L198" s="63" t="s">
        <v>12</v>
      </c>
      <c r="M198" s="63" t="s">
        <v>40</v>
      </c>
      <c r="N198" s="63" t="s">
        <v>41</v>
      </c>
      <c r="O198" s="63" t="s">
        <v>42</v>
      </c>
    </row>
    <row r="199" spans="1:15" ht="12.2" customHeight="1" x14ac:dyDescent="0.25">
      <c r="A199" s="38"/>
      <c r="B199" s="207" t="s">
        <v>16</v>
      </c>
      <c r="C199" s="62" t="s">
        <v>61</v>
      </c>
      <c r="D199" s="71">
        <v>299102</v>
      </c>
      <c r="E199" s="71">
        <v>463065</v>
      </c>
      <c r="F199" s="71">
        <v>303898</v>
      </c>
      <c r="G199" s="71">
        <v>479700</v>
      </c>
      <c r="H199" s="71">
        <v>464355</v>
      </c>
      <c r="I199" s="71">
        <v>432814</v>
      </c>
      <c r="J199" s="71">
        <v>360488</v>
      </c>
      <c r="K199" s="71"/>
      <c r="L199" s="71"/>
      <c r="M199" s="86"/>
      <c r="N199" s="71"/>
      <c r="O199" s="71"/>
    </row>
    <row r="200" spans="1:15" ht="12.2" customHeight="1" x14ac:dyDescent="0.25">
      <c r="A200" s="38"/>
      <c r="B200" s="207"/>
      <c r="C200" s="62" t="s">
        <v>62</v>
      </c>
      <c r="D200" s="71">
        <v>0</v>
      </c>
      <c r="E200" s="71">
        <v>0</v>
      </c>
      <c r="F200" s="71">
        <v>0</v>
      </c>
      <c r="G200" s="71">
        <v>0</v>
      </c>
      <c r="H200" s="71">
        <v>3532</v>
      </c>
      <c r="I200" s="71">
        <v>0</v>
      </c>
      <c r="J200" s="71">
        <v>3359</v>
      </c>
      <c r="K200" s="71"/>
      <c r="L200" s="71"/>
      <c r="M200" s="86"/>
      <c r="N200" s="71"/>
      <c r="O200" s="71"/>
    </row>
    <row r="201" spans="1:15" ht="12.2" customHeight="1" x14ac:dyDescent="0.25">
      <c r="A201" s="38"/>
      <c r="B201" s="207"/>
      <c r="C201" s="62" t="s">
        <v>63</v>
      </c>
      <c r="D201" s="71">
        <v>75</v>
      </c>
      <c r="E201" s="71">
        <v>0</v>
      </c>
      <c r="F201" s="71">
        <v>0</v>
      </c>
      <c r="G201" s="71">
        <v>7</v>
      </c>
      <c r="H201" s="71">
        <v>9</v>
      </c>
      <c r="I201" s="71">
        <v>0</v>
      </c>
      <c r="J201" s="71">
        <v>368</v>
      </c>
      <c r="K201" s="71"/>
      <c r="L201" s="71"/>
      <c r="M201" s="86"/>
      <c r="N201" s="71"/>
      <c r="O201" s="71"/>
    </row>
    <row r="202" spans="1:15" ht="12.2" customHeight="1" x14ac:dyDescent="0.25">
      <c r="A202" s="38"/>
      <c r="B202" s="207"/>
      <c r="C202" s="62" t="s">
        <v>64</v>
      </c>
      <c r="D202" s="66">
        <f>SUM(D199:D201)</f>
        <v>299177</v>
      </c>
      <c r="E202" s="66">
        <f>SUM(E199:E201)</f>
        <v>463065</v>
      </c>
      <c r="F202" s="65">
        <f t="shared" ref="F202:N202" si="125">SUM(F199:F201)</f>
        <v>303898</v>
      </c>
      <c r="G202" s="65">
        <f t="shared" si="125"/>
        <v>479707</v>
      </c>
      <c r="H202" s="65">
        <f t="shared" si="125"/>
        <v>467896</v>
      </c>
      <c r="I202" s="65">
        <f t="shared" si="125"/>
        <v>432814</v>
      </c>
      <c r="J202" s="65">
        <f t="shared" si="125"/>
        <v>364215</v>
      </c>
      <c r="K202" s="65">
        <f t="shared" si="125"/>
        <v>0</v>
      </c>
      <c r="L202" s="65">
        <f t="shared" si="125"/>
        <v>0</v>
      </c>
      <c r="M202" s="65">
        <f t="shared" si="125"/>
        <v>0</v>
      </c>
      <c r="N202" s="65">
        <f t="shared" si="125"/>
        <v>0</v>
      </c>
      <c r="O202" s="65">
        <f>SUM(O199:O201)</f>
        <v>0</v>
      </c>
    </row>
    <row r="203" spans="1:15" ht="12.2" customHeight="1" x14ac:dyDescent="0.25">
      <c r="A203" s="38"/>
      <c r="B203" s="39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2" customHeight="1" x14ac:dyDescent="0.25">
      <c r="A204" s="38"/>
      <c r="B204" s="207" t="s">
        <v>17</v>
      </c>
      <c r="C204" s="62" t="s">
        <v>61</v>
      </c>
      <c r="D204" s="66">
        <f>D199</f>
        <v>299102</v>
      </c>
      <c r="E204" s="66">
        <f t="shared" ref="E204:O204" si="126">D204+E199</f>
        <v>762167</v>
      </c>
      <c r="F204" s="66">
        <f t="shared" si="126"/>
        <v>1066065</v>
      </c>
      <c r="G204" s="66">
        <f t="shared" si="126"/>
        <v>1545765</v>
      </c>
      <c r="H204" s="66">
        <f t="shared" si="126"/>
        <v>2010120</v>
      </c>
      <c r="I204" s="66">
        <f t="shared" si="126"/>
        <v>2442934</v>
      </c>
      <c r="J204" s="66">
        <f t="shared" si="126"/>
        <v>2803422</v>
      </c>
      <c r="K204" s="66">
        <f t="shared" si="126"/>
        <v>2803422</v>
      </c>
      <c r="L204" s="66">
        <f t="shared" si="126"/>
        <v>2803422</v>
      </c>
      <c r="M204" s="66">
        <f t="shared" si="126"/>
        <v>2803422</v>
      </c>
      <c r="N204" s="66">
        <f t="shared" si="126"/>
        <v>2803422</v>
      </c>
      <c r="O204" s="66">
        <f t="shared" si="126"/>
        <v>2803422</v>
      </c>
    </row>
    <row r="205" spans="1:15" ht="12.2" customHeight="1" x14ac:dyDescent="0.25">
      <c r="A205" s="38"/>
      <c r="B205" s="207"/>
      <c r="C205" s="62" t="s">
        <v>62</v>
      </c>
      <c r="D205" s="66">
        <f>D200</f>
        <v>0</v>
      </c>
      <c r="E205" s="66">
        <f t="shared" ref="E205:O205" si="127">D205+E200</f>
        <v>0</v>
      </c>
      <c r="F205" s="66">
        <f t="shared" si="127"/>
        <v>0</v>
      </c>
      <c r="G205" s="66">
        <f t="shared" si="127"/>
        <v>0</v>
      </c>
      <c r="H205" s="66">
        <f t="shared" si="127"/>
        <v>3532</v>
      </c>
      <c r="I205" s="66">
        <f t="shared" si="127"/>
        <v>3532</v>
      </c>
      <c r="J205" s="66">
        <f t="shared" si="127"/>
        <v>6891</v>
      </c>
      <c r="K205" s="66">
        <f t="shared" si="127"/>
        <v>6891</v>
      </c>
      <c r="L205" s="66">
        <f t="shared" si="127"/>
        <v>6891</v>
      </c>
      <c r="M205" s="66">
        <f t="shared" si="127"/>
        <v>6891</v>
      </c>
      <c r="N205" s="66">
        <f t="shared" si="127"/>
        <v>6891</v>
      </c>
      <c r="O205" s="66">
        <f t="shared" si="127"/>
        <v>6891</v>
      </c>
    </row>
    <row r="206" spans="1:15" ht="12.2" customHeight="1" x14ac:dyDescent="0.25">
      <c r="A206" s="38"/>
      <c r="B206" s="207"/>
      <c r="C206" s="62" t="s">
        <v>63</v>
      </c>
      <c r="D206" s="66">
        <f>D201</f>
        <v>75</v>
      </c>
      <c r="E206" s="66">
        <f t="shared" ref="E206:O206" si="128">D206+E201</f>
        <v>75</v>
      </c>
      <c r="F206" s="66">
        <f t="shared" si="128"/>
        <v>75</v>
      </c>
      <c r="G206" s="66">
        <f t="shared" si="128"/>
        <v>82</v>
      </c>
      <c r="H206" s="66">
        <f t="shared" si="128"/>
        <v>91</v>
      </c>
      <c r="I206" s="66">
        <f t="shared" si="128"/>
        <v>91</v>
      </c>
      <c r="J206" s="66">
        <f t="shared" si="128"/>
        <v>459</v>
      </c>
      <c r="K206" s="66">
        <f t="shared" si="128"/>
        <v>459</v>
      </c>
      <c r="L206" s="66">
        <f t="shared" si="128"/>
        <v>459</v>
      </c>
      <c r="M206" s="66">
        <f t="shared" si="128"/>
        <v>459</v>
      </c>
      <c r="N206" s="66">
        <f t="shared" si="128"/>
        <v>459</v>
      </c>
      <c r="O206" s="66">
        <f t="shared" si="128"/>
        <v>459</v>
      </c>
    </row>
    <row r="207" spans="1:15" ht="12.2" customHeight="1" x14ac:dyDescent="0.25">
      <c r="A207" s="38"/>
      <c r="B207" s="207"/>
      <c r="C207" s="62" t="s">
        <v>64</v>
      </c>
      <c r="D207" s="66">
        <f>SUM(D204:D206)</f>
        <v>299177</v>
      </c>
      <c r="E207" s="66">
        <f>SUM(E204:E206)</f>
        <v>762242</v>
      </c>
      <c r="F207" s="66">
        <f t="shared" ref="F207:N207" si="129">SUM(F204:F206)</f>
        <v>1066140</v>
      </c>
      <c r="G207" s="66">
        <f t="shared" si="129"/>
        <v>1545847</v>
      </c>
      <c r="H207" s="66">
        <f t="shared" si="129"/>
        <v>2013743</v>
      </c>
      <c r="I207" s="66">
        <f t="shared" si="129"/>
        <v>2446557</v>
      </c>
      <c r="J207" s="66">
        <f t="shared" si="129"/>
        <v>2810772</v>
      </c>
      <c r="K207" s="66">
        <f t="shared" si="129"/>
        <v>2810772</v>
      </c>
      <c r="L207" s="66">
        <f t="shared" si="129"/>
        <v>2810772</v>
      </c>
      <c r="M207" s="66">
        <f t="shared" si="129"/>
        <v>2810772</v>
      </c>
      <c r="N207" s="66">
        <f t="shared" si="129"/>
        <v>2810772</v>
      </c>
      <c r="O207" s="66">
        <f>SUM(O204:O206)</f>
        <v>2810772</v>
      </c>
    </row>
    <row r="208" spans="1:15" ht="12.2" customHeight="1" x14ac:dyDescent="0.25">
      <c r="A208" s="38"/>
      <c r="B208" s="39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2" customHeight="1" x14ac:dyDescent="0.25">
      <c r="A209" s="38"/>
      <c r="B209" s="207" t="s">
        <v>16</v>
      </c>
      <c r="C209" s="62" t="s">
        <v>65</v>
      </c>
      <c r="D209" s="67">
        <f>D199/D202</f>
        <v>0.99974931228002151</v>
      </c>
      <c r="E209" s="67">
        <f t="shared" ref="E209:N209" si="130">E199/E202</f>
        <v>1</v>
      </c>
      <c r="F209" s="67">
        <f t="shared" si="130"/>
        <v>1</v>
      </c>
      <c r="G209" s="67">
        <f t="shared" si="130"/>
        <v>0.99998540775931977</v>
      </c>
      <c r="H209" s="67">
        <f t="shared" si="130"/>
        <v>0.99243207892352148</v>
      </c>
      <c r="I209" s="67">
        <f t="shared" si="130"/>
        <v>1</v>
      </c>
      <c r="J209" s="67">
        <f t="shared" si="130"/>
        <v>0.98976703320840709</v>
      </c>
      <c r="K209" s="67" t="e">
        <f t="shared" si="130"/>
        <v>#DIV/0!</v>
      </c>
      <c r="L209" s="67" t="e">
        <f t="shared" si="130"/>
        <v>#DIV/0!</v>
      </c>
      <c r="M209" s="67" t="e">
        <f t="shared" si="130"/>
        <v>#DIV/0!</v>
      </c>
      <c r="N209" s="67" t="e">
        <f t="shared" si="130"/>
        <v>#DIV/0!</v>
      </c>
      <c r="O209" s="67" t="e">
        <f>O199/O202</f>
        <v>#DIV/0!</v>
      </c>
    </row>
    <row r="210" spans="1:15" ht="12.2" customHeight="1" x14ac:dyDescent="0.25">
      <c r="A210" s="38"/>
      <c r="B210" s="207"/>
      <c r="C210" s="62" t="s">
        <v>66</v>
      </c>
      <c r="D210" s="67">
        <f>D200/D202</f>
        <v>0</v>
      </c>
      <c r="E210" s="67">
        <f t="shared" ref="E210:N210" si="131">E200/E202</f>
        <v>0</v>
      </c>
      <c r="F210" s="67">
        <f t="shared" si="131"/>
        <v>0</v>
      </c>
      <c r="G210" s="67">
        <f t="shared" si="131"/>
        <v>0</v>
      </c>
      <c r="H210" s="67">
        <f t="shared" si="131"/>
        <v>7.5486860327936122E-3</v>
      </c>
      <c r="I210" s="67">
        <f t="shared" si="131"/>
        <v>0</v>
      </c>
      <c r="J210" s="67">
        <f t="shared" si="131"/>
        <v>9.2225745782024346E-3</v>
      </c>
      <c r="K210" s="67" t="e">
        <f t="shared" si="131"/>
        <v>#DIV/0!</v>
      </c>
      <c r="L210" s="67" t="e">
        <f t="shared" si="131"/>
        <v>#DIV/0!</v>
      </c>
      <c r="M210" s="67" t="e">
        <f t="shared" si="131"/>
        <v>#DIV/0!</v>
      </c>
      <c r="N210" s="67" t="e">
        <f t="shared" si="131"/>
        <v>#DIV/0!</v>
      </c>
      <c r="O210" s="67" t="e">
        <f>O200/O202</f>
        <v>#DIV/0!</v>
      </c>
    </row>
    <row r="211" spans="1:15" ht="12.2" customHeight="1" x14ac:dyDescent="0.25">
      <c r="A211" s="38"/>
      <c r="B211" s="207"/>
      <c r="C211" s="62" t="s">
        <v>67</v>
      </c>
      <c r="D211" s="70">
        <f>D201/D202</f>
        <v>2.5068771997847428E-4</v>
      </c>
      <c r="E211" s="68">
        <f t="shared" ref="E211:N211" si="132">E201/E202</f>
        <v>0</v>
      </c>
      <c r="F211" s="68">
        <f t="shared" si="132"/>
        <v>0</v>
      </c>
      <c r="G211" s="68">
        <f t="shared" si="132"/>
        <v>1.4592240680248569E-5</v>
      </c>
      <c r="H211" s="68">
        <f t="shared" si="132"/>
        <v>1.9235043684921435E-5</v>
      </c>
      <c r="I211" s="68">
        <f t="shared" si="132"/>
        <v>0</v>
      </c>
      <c r="J211" s="68">
        <f t="shared" si="132"/>
        <v>1.0103922133904424E-3</v>
      </c>
      <c r="K211" s="68" t="e">
        <f t="shared" si="132"/>
        <v>#DIV/0!</v>
      </c>
      <c r="L211" s="68" t="e">
        <f t="shared" si="132"/>
        <v>#DIV/0!</v>
      </c>
      <c r="M211" s="68" t="e">
        <f t="shared" si="132"/>
        <v>#DIV/0!</v>
      </c>
      <c r="N211" s="68" t="e">
        <f t="shared" si="132"/>
        <v>#DIV/0!</v>
      </c>
      <c r="O211" s="68" t="e">
        <f>O201/O202</f>
        <v>#DIV/0!</v>
      </c>
    </row>
    <row r="212" spans="1:15" ht="12.2" customHeight="1" x14ac:dyDescent="0.25">
      <c r="A212" s="38"/>
      <c r="B212" s="207"/>
      <c r="C212" s="62" t="s">
        <v>68</v>
      </c>
      <c r="D212" s="69">
        <f>SUM(D209:D211)</f>
        <v>1</v>
      </c>
      <c r="E212" s="69">
        <f t="shared" ref="E212:N212" si="133">SUM(E209:E211)</f>
        <v>1</v>
      </c>
      <c r="F212" s="69">
        <f t="shared" si="133"/>
        <v>1</v>
      </c>
      <c r="G212" s="69">
        <f t="shared" si="133"/>
        <v>1</v>
      </c>
      <c r="H212" s="69">
        <f t="shared" si="133"/>
        <v>1</v>
      </c>
      <c r="I212" s="69">
        <f t="shared" si="133"/>
        <v>1</v>
      </c>
      <c r="J212" s="69">
        <f t="shared" si="133"/>
        <v>0.99999999999999989</v>
      </c>
      <c r="K212" s="69" t="e">
        <f t="shared" si="133"/>
        <v>#DIV/0!</v>
      </c>
      <c r="L212" s="69" t="e">
        <f t="shared" si="133"/>
        <v>#DIV/0!</v>
      </c>
      <c r="M212" s="69" t="e">
        <f t="shared" si="133"/>
        <v>#DIV/0!</v>
      </c>
      <c r="N212" s="69" t="e">
        <f t="shared" si="133"/>
        <v>#DIV/0!</v>
      </c>
      <c r="O212" s="69" t="e">
        <f>SUM(O209:O211)</f>
        <v>#DIV/0!</v>
      </c>
    </row>
    <row r="213" spans="1:15" ht="12.2" customHeight="1" x14ac:dyDescent="0.25">
      <c r="A213" s="38"/>
      <c r="B213" s="39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2" customHeight="1" x14ac:dyDescent="0.25">
      <c r="A214" s="38"/>
      <c r="B214" s="207" t="s">
        <v>17</v>
      </c>
      <c r="C214" s="62" t="s">
        <v>65</v>
      </c>
      <c r="D214" s="67">
        <f>D204/D207</f>
        <v>0.99974931228002151</v>
      </c>
      <c r="E214" s="67">
        <f t="shared" ref="E214:N214" si="134">E204/E207</f>
        <v>0.99990160605162137</v>
      </c>
      <c r="F214" s="67">
        <f t="shared" si="134"/>
        <v>0.99992965276605328</v>
      </c>
      <c r="G214" s="67">
        <f t="shared" si="134"/>
        <v>0.99994695464687</v>
      </c>
      <c r="H214" s="67">
        <f t="shared" si="134"/>
        <v>0.99820086277146591</v>
      </c>
      <c r="I214" s="67">
        <f t="shared" si="134"/>
        <v>0.99851914343299586</v>
      </c>
      <c r="J214" s="67">
        <f t="shared" si="134"/>
        <v>0.99738506004755989</v>
      </c>
      <c r="K214" s="67">
        <f t="shared" si="134"/>
        <v>0.99738506004755989</v>
      </c>
      <c r="L214" s="67">
        <f t="shared" si="134"/>
        <v>0.99738506004755989</v>
      </c>
      <c r="M214" s="67">
        <f t="shared" si="134"/>
        <v>0.99738506004755989</v>
      </c>
      <c r="N214" s="67">
        <f t="shared" si="134"/>
        <v>0.99738506004755989</v>
      </c>
      <c r="O214" s="67">
        <f>O204/O207</f>
        <v>0.99738506004755989</v>
      </c>
    </row>
    <row r="215" spans="1:15" ht="12.2" customHeight="1" x14ac:dyDescent="0.25">
      <c r="A215" s="38"/>
      <c r="B215" s="207"/>
      <c r="C215" s="62" t="s">
        <v>66</v>
      </c>
      <c r="D215" s="67">
        <f>D205/D207</f>
        <v>0</v>
      </c>
      <c r="E215" s="67">
        <f t="shared" ref="E215:N215" si="135">E205/E207</f>
        <v>0</v>
      </c>
      <c r="F215" s="67">
        <f t="shared" si="135"/>
        <v>0</v>
      </c>
      <c r="G215" s="67">
        <f t="shared" si="135"/>
        <v>0</v>
      </c>
      <c r="H215" s="67">
        <f t="shared" si="135"/>
        <v>1.7539477480492795E-3</v>
      </c>
      <c r="I215" s="67">
        <f t="shared" si="135"/>
        <v>1.4436614393206453E-3</v>
      </c>
      <c r="J215" s="67">
        <f t="shared" si="135"/>
        <v>2.4516396207163015E-3</v>
      </c>
      <c r="K215" s="67">
        <f t="shared" si="135"/>
        <v>2.4516396207163015E-3</v>
      </c>
      <c r="L215" s="67">
        <f t="shared" si="135"/>
        <v>2.4516396207163015E-3</v>
      </c>
      <c r="M215" s="67">
        <f t="shared" si="135"/>
        <v>2.4516396207163015E-3</v>
      </c>
      <c r="N215" s="67">
        <f t="shared" si="135"/>
        <v>2.4516396207163015E-3</v>
      </c>
      <c r="O215" s="67">
        <f>O205/O207</f>
        <v>2.4516396207163015E-3</v>
      </c>
    </row>
    <row r="216" spans="1:15" ht="12.2" customHeight="1" x14ac:dyDescent="0.25">
      <c r="A216" s="38"/>
      <c r="B216" s="207"/>
      <c r="C216" s="62" t="s">
        <v>67</v>
      </c>
      <c r="D216" s="68">
        <f>D206/D207</f>
        <v>2.5068771997847428E-4</v>
      </c>
      <c r="E216" s="68">
        <f t="shared" ref="E216:N216" si="136">E206/E207</f>
        <v>9.8393948378598924E-5</v>
      </c>
      <c r="F216" s="68">
        <f t="shared" si="136"/>
        <v>7.034723394676121E-5</v>
      </c>
      <c r="G216" s="68">
        <f t="shared" si="136"/>
        <v>5.3045353130031629E-5</v>
      </c>
      <c r="H216" s="68">
        <f t="shared" si="136"/>
        <v>4.5189480484848364E-5</v>
      </c>
      <c r="I216" s="68">
        <f t="shared" si="136"/>
        <v>3.7195127683516062E-5</v>
      </c>
      <c r="J216" s="68">
        <f t="shared" si="136"/>
        <v>1.6330033172381111E-4</v>
      </c>
      <c r="K216" s="68">
        <f t="shared" si="136"/>
        <v>1.6330033172381111E-4</v>
      </c>
      <c r="L216" s="68">
        <f t="shared" si="136"/>
        <v>1.6330033172381111E-4</v>
      </c>
      <c r="M216" s="68">
        <f t="shared" si="136"/>
        <v>1.6330033172381111E-4</v>
      </c>
      <c r="N216" s="68">
        <f t="shared" si="136"/>
        <v>1.6330033172381111E-4</v>
      </c>
      <c r="O216" s="68">
        <f>O206/O207</f>
        <v>1.6330033172381111E-4</v>
      </c>
    </row>
    <row r="217" spans="1:15" ht="12.2" customHeight="1" x14ac:dyDescent="0.25">
      <c r="A217" s="38"/>
      <c r="B217" s="207"/>
      <c r="C217" s="62" t="s">
        <v>68</v>
      </c>
      <c r="D217" s="69">
        <f>SUM(D214:D216)</f>
        <v>1</v>
      </c>
      <c r="E217" s="69">
        <f t="shared" ref="E217:N217" si="137">SUM(E214:E216)</f>
        <v>1</v>
      </c>
      <c r="F217" s="69">
        <f t="shared" si="137"/>
        <v>1</v>
      </c>
      <c r="G217" s="69">
        <f t="shared" si="137"/>
        <v>1</v>
      </c>
      <c r="H217" s="69">
        <f t="shared" si="137"/>
        <v>1</v>
      </c>
      <c r="I217" s="69">
        <f t="shared" si="137"/>
        <v>1</v>
      </c>
      <c r="J217" s="69">
        <f t="shared" si="137"/>
        <v>1</v>
      </c>
      <c r="K217" s="69">
        <f t="shared" si="137"/>
        <v>1</v>
      </c>
      <c r="L217" s="69">
        <f t="shared" si="137"/>
        <v>1</v>
      </c>
      <c r="M217" s="69">
        <f t="shared" si="137"/>
        <v>1</v>
      </c>
      <c r="N217" s="69">
        <f t="shared" si="137"/>
        <v>1</v>
      </c>
      <c r="O217" s="69">
        <f>SUM(O214:O216)</f>
        <v>1</v>
      </c>
    </row>
    <row r="218" spans="1:15" ht="12.2" customHeight="1" x14ac:dyDescent="0.2"/>
    <row r="219" spans="1:15" ht="12.2" customHeight="1" x14ac:dyDescent="0.25">
      <c r="A219" s="38" t="s">
        <v>59</v>
      </c>
      <c r="B219" s="61" t="s">
        <v>64</v>
      </c>
      <c r="C219" s="62"/>
      <c r="D219" s="63" t="s">
        <v>4</v>
      </c>
      <c r="E219" s="63" t="s">
        <v>5</v>
      </c>
      <c r="F219" s="63" t="s">
        <v>6</v>
      </c>
      <c r="G219" s="63" t="s">
        <v>7</v>
      </c>
      <c r="H219" s="63" t="s">
        <v>38</v>
      </c>
      <c r="I219" s="63" t="s">
        <v>9</v>
      </c>
      <c r="J219" s="63" t="s">
        <v>10</v>
      </c>
      <c r="K219" s="63" t="s">
        <v>39</v>
      </c>
      <c r="L219" s="63" t="s">
        <v>12</v>
      </c>
      <c r="M219" s="63" t="s">
        <v>40</v>
      </c>
      <c r="N219" s="63" t="s">
        <v>41</v>
      </c>
      <c r="O219" s="63" t="s">
        <v>42</v>
      </c>
    </row>
    <row r="220" spans="1:15" ht="12.2" customHeight="1" x14ac:dyDescent="0.25">
      <c r="A220" s="38"/>
      <c r="B220" s="207" t="s">
        <v>16</v>
      </c>
      <c r="C220" s="62" t="s">
        <v>61</v>
      </c>
      <c r="D220" s="64">
        <f>D73+D94+D115+D136+D157+D178+D199</f>
        <v>1247362</v>
      </c>
      <c r="E220" s="64">
        <f t="shared" ref="E220:K220" si="138">E73+E94+E115+E136+E157+E178+E199</f>
        <v>1555884</v>
      </c>
      <c r="F220" s="64">
        <f t="shared" si="138"/>
        <v>1118098</v>
      </c>
      <c r="G220" s="64">
        <f t="shared" si="138"/>
        <v>1560721</v>
      </c>
      <c r="H220" s="64">
        <f t="shared" ref="H220:J221" si="139">H73+H94+H115+H136+H157+H178+H199</f>
        <v>1458680</v>
      </c>
      <c r="I220" s="64">
        <f t="shared" si="139"/>
        <v>1461826</v>
      </c>
      <c r="J220" s="64">
        <f t="shared" si="139"/>
        <v>1331333</v>
      </c>
      <c r="K220" s="64">
        <f t="shared" si="138"/>
        <v>0</v>
      </c>
      <c r="L220" s="64">
        <f t="shared" ref="L220:O222" si="140">L73+L94+L115+L136+L157+L178+L199</f>
        <v>0</v>
      </c>
      <c r="M220" s="64">
        <f t="shared" si="140"/>
        <v>0</v>
      </c>
      <c r="N220" s="64">
        <f t="shared" si="140"/>
        <v>0</v>
      </c>
      <c r="O220" s="64">
        <f t="shared" si="140"/>
        <v>0</v>
      </c>
    </row>
    <row r="221" spans="1:15" ht="12.2" customHeight="1" x14ac:dyDescent="0.25">
      <c r="A221" s="38"/>
      <c r="B221" s="207"/>
      <c r="C221" s="62" t="s">
        <v>62</v>
      </c>
      <c r="D221" s="64">
        <f t="shared" ref="D221:K222" si="141">D74+D95+D116+D137+D158+D179+D200</f>
        <v>7675</v>
      </c>
      <c r="E221" s="64">
        <f t="shared" si="141"/>
        <v>15186</v>
      </c>
      <c r="F221" s="64">
        <f t="shared" si="141"/>
        <v>9559</v>
      </c>
      <c r="G221" s="64">
        <f t="shared" si="141"/>
        <v>10205</v>
      </c>
      <c r="H221" s="64">
        <f t="shared" si="139"/>
        <v>11136</v>
      </c>
      <c r="I221" s="64">
        <f t="shared" si="139"/>
        <v>13097</v>
      </c>
      <c r="J221" s="64">
        <f t="shared" si="139"/>
        <v>14026</v>
      </c>
      <c r="K221" s="64">
        <f t="shared" si="141"/>
        <v>0</v>
      </c>
      <c r="L221" s="64">
        <f t="shared" si="140"/>
        <v>0</v>
      </c>
      <c r="M221" s="64">
        <f t="shared" si="140"/>
        <v>0</v>
      </c>
      <c r="N221" s="64">
        <f t="shared" si="140"/>
        <v>0</v>
      </c>
      <c r="O221" s="64">
        <f t="shared" si="140"/>
        <v>0</v>
      </c>
    </row>
    <row r="222" spans="1:15" ht="12.2" customHeight="1" x14ac:dyDescent="0.25">
      <c r="A222" s="38"/>
      <c r="B222" s="207"/>
      <c r="C222" s="62" t="s">
        <v>63</v>
      </c>
      <c r="D222" s="64">
        <f>D75+D96+D117+D138+D159+D180+D201</f>
        <v>330</v>
      </c>
      <c r="E222" s="64">
        <f t="shared" si="141"/>
        <v>555</v>
      </c>
      <c r="F222" s="64">
        <f t="shared" si="141"/>
        <v>466</v>
      </c>
      <c r="G222" s="64">
        <f t="shared" si="141"/>
        <v>317</v>
      </c>
      <c r="H222" s="64">
        <f t="shared" si="141"/>
        <v>402</v>
      </c>
      <c r="I222" s="64">
        <f t="shared" si="141"/>
        <v>262</v>
      </c>
      <c r="J222" s="64">
        <f t="shared" si="141"/>
        <v>758</v>
      </c>
      <c r="K222" s="64">
        <f t="shared" si="141"/>
        <v>0</v>
      </c>
      <c r="L222" s="64">
        <f t="shared" si="140"/>
        <v>0</v>
      </c>
      <c r="M222" s="64">
        <f t="shared" si="140"/>
        <v>0</v>
      </c>
      <c r="N222" s="64">
        <f t="shared" si="140"/>
        <v>0</v>
      </c>
      <c r="O222" s="64">
        <f t="shared" si="140"/>
        <v>0</v>
      </c>
    </row>
    <row r="223" spans="1:15" ht="12.2" customHeight="1" x14ac:dyDescent="0.25">
      <c r="A223" s="38"/>
      <c r="B223" s="207"/>
      <c r="C223" s="62" t="s">
        <v>64</v>
      </c>
      <c r="D223" s="66">
        <f t="shared" ref="D223:K223" si="142">SUM(D220:D222)</f>
        <v>1255367</v>
      </c>
      <c r="E223" s="65">
        <f t="shared" si="142"/>
        <v>1571625</v>
      </c>
      <c r="F223" s="65">
        <f t="shared" si="142"/>
        <v>1128123</v>
      </c>
      <c r="G223" s="65">
        <f t="shared" si="142"/>
        <v>1571243</v>
      </c>
      <c r="H223" s="65">
        <f t="shared" si="142"/>
        <v>1470218</v>
      </c>
      <c r="I223" s="65">
        <f t="shared" si="142"/>
        <v>1475185</v>
      </c>
      <c r="J223" s="65">
        <f t="shared" si="142"/>
        <v>1346117</v>
      </c>
      <c r="K223" s="65">
        <f t="shared" si="142"/>
        <v>0</v>
      </c>
      <c r="L223" s="66">
        <f>SUM(L220:L222)</f>
        <v>0</v>
      </c>
      <c r="M223" s="66">
        <f>SUM(M220:M222)</f>
        <v>0</v>
      </c>
      <c r="N223" s="66">
        <f>SUM(N220:N222)</f>
        <v>0</v>
      </c>
      <c r="O223" s="66">
        <f>SUM(O220:O222)</f>
        <v>0</v>
      </c>
    </row>
    <row r="224" spans="1:15" ht="12.2" customHeight="1" x14ac:dyDescent="0.25">
      <c r="A224" s="38"/>
      <c r="B224" s="39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2" customHeight="1" x14ac:dyDescent="0.25">
      <c r="A225" s="38"/>
      <c r="B225" s="207" t="s">
        <v>17</v>
      </c>
      <c r="C225" s="62" t="s">
        <v>61</v>
      </c>
      <c r="D225" s="66">
        <f>D220</f>
        <v>1247362</v>
      </c>
      <c r="E225" s="66">
        <f t="shared" ref="E225:K225" si="143">D225+E220</f>
        <v>2803246</v>
      </c>
      <c r="F225" s="66">
        <f t="shared" si="143"/>
        <v>3921344</v>
      </c>
      <c r="G225" s="66">
        <f t="shared" si="143"/>
        <v>5482065</v>
      </c>
      <c r="H225" s="66">
        <f t="shared" si="143"/>
        <v>6940745</v>
      </c>
      <c r="I225" s="66">
        <f t="shared" si="143"/>
        <v>8402571</v>
      </c>
      <c r="J225" s="66">
        <f t="shared" si="143"/>
        <v>9733904</v>
      </c>
      <c r="K225" s="66">
        <f t="shared" si="143"/>
        <v>9733904</v>
      </c>
      <c r="L225" s="66">
        <f t="shared" ref="L225:O227" si="144">K225+L220</f>
        <v>9733904</v>
      </c>
      <c r="M225" s="66">
        <f t="shared" si="144"/>
        <v>9733904</v>
      </c>
      <c r="N225" s="66">
        <f t="shared" si="144"/>
        <v>9733904</v>
      </c>
      <c r="O225" s="66">
        <f t="shared" si="144"/>
        <v>9733904</v>
      </c>
    </row>
    <row r="226" spans="1:15" ht="12.2" customHeight="1" x14ac:dyDescent="0.25">
      <c r="A226" s="38"/>
      <c r="B226" s="207"/>
      <c r="C226" s="62" t="s">
        <v>62</v>
      </c>
      <c r="D226" s="66">
        <f>D221</f>
        <v>7675</v>
      </c>
      <c r="E226" s="66">
        <f t="shared" ref="E226:K226" si="145">D226+E221</f>
        <v>22861</v>
      </c>
      <c r="F226" s="66">
        <f t="shared" si="145"/>
        <v>32420</v>
      </c>
      <c r="G226" s="66">
        <f t="shared" si="145"/>
        <v>42625</v>
      </c>
      <c r="H226" s="66">
        <f t="shared" si="145"/>
        <v>53761</v>
      </c>
      <c r="I226" s="66">
        <f t="shared" si="145"/>
        <v>66858</v>
      </c>
      <c r="J226" s="66">
        <f t="shared" si="145"/>
        <v>80884</v>
      </c>
      <c r="K226" s="66">
        <f t="shared" si="145"/>
        <v>80884</v>
      </c>
      <c r="L226" s="66">
        <f t="shared" si="144"/>
        <v>80884</v>
      </c>
      <c r="M226" s="66">
        <f t="shared" si="144"/>
        <v>80884</v>
      </c>
      <c r="N226" s="66">
        <f t="shared" si="144"/>
        <v>80884</v>
      </c>
      <c r="O226" s="66">
        <f t="shared" si="144"/>
        <v>80884</v>
      </c>
    </row>
    <row r="227" spans="1:15" ht="12.2" customHeight="1" x14ac:dyDescent="0.25">
      <c r="A227" s="38"/>
      <c r="B227" s="207"/>
      <c r="C227" s="62" t="s">
        <v>63</v>
      </c>
      <c r="D227" s="66">
        <f>D222</f>
        <v>330</v>
      </c>
      <c r="E227" s="66">
        <f t="shared" ref="E227:K227" si="146">D227+E222</f>
        <v>885</v>
      </c>
      <c r="F227" s="66">
        <f t="shared" si="146"/>
        <v>1351</v>
      </c>
      <c r="G227" s="66">
        <f t="shared" si="146"/>
        <v>1668</v>
      </c>
      <c r="H227" s="66">
        <f t="shared" si="146"/>
        <v>2070</v>
      </c>
      <c r="I227" s="66">
        <f t="shared" si="146"/>
        <v>2332</v>
      </c>
      <c r="J227" s="66">
        <f t="shared" si="146"/>
        <v>3090</v>
      </c>
      <c r="K227" s="66">
        <f t="shared" si="146"/>
        <v>3090</v>
      </c>
      <c r="L227" s="66">
        <f t="shared" si="144"/>
        <v>3090</v>
      </c>
      <c r="M227" s="66">
        <f t="shared" si="144"/>
        <v>3090</v>
      </c>
      <c r="N227" s="66">
        <f t="shared" si="144"/>
        <v>3090</v>
      </c>
      <c r="O227" s="66">
        <f t="shared" si="144"/>
        <v>3090</v>
      </c>
    </row>
    <row r="228" spans="1:15" ht="12.2" customHeight="1" x14ac:dyDescent="0.25">
      <c r="A228" s="38"/>
      <c r="B228" s="207"/>
      <c r="C228" s="62" t="s">
        <v>64</v>
      </c>
      <c r="D228" s="66">
        <f>SUM(D225:D227)</f>
        <v>1255367</v>
      </c>
      <c r="E228" s="66">
        <f t="shared" ref="E228:K228" si="147">SUM(E225:E227)</f>
        <v>2826992</v>
      </c>
      <c r="F228" s="66">
        <f t="shared" si="147"/>
        <v>3955115</v>
      </c>
      <c r="G228" s="66">
        <f t="shared" si="147"/>
        <v>5526358</v>
      </c>
      <c r="H228" s="66">
        <f t="shared" si="147"/>
        <v>6996576</v>
      </c>
      <c r="I228" s="66">
        <f t="shared" si="147"/>
        <v>8471761</v>
      </c>
      <c r="J228" s="66">
        <f t="shared" si="147"/>
        <v>9817878</v>
      </c>
      <c r="K228" s="66">
        <f t="shared" si="147"/>
        <v>9817878</v>
      </c>
      <c r="L228" s="66">
        <f>SUM(L225:L227)</f>
        <v>9817878</v>
      </c>
      <c r="M228" s="66">
        <f>SUM(M225:M227)</f>
        <v>9817878</v>
      </c>
      <c r="N228" s="66">
        <f>SUM(N225:N227)</f>
        <v>9817878</v>
      </c>
      <c r="O228" s="66">
        <f>SUM(O225:O227)</f>
        <v>9817878</v>
      </c>
    </row>
    <row r="229" spans="1:15" ht="12.2" customHeight="1" x14ac:dyDescent="0.25">
      <c r="A229" s="38"/>
      <c r="B229" s="39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2" customHeight="1" x14ac:dyDescent="0.25">
      <c r="A230" s="38"/>
      <c r="B230" s="207" t="s">
        <v>16</v>
      </c>
      <c r="C230" s="62" t="s">
        <v>65</v>
      </c>
      <c r="D230" s="67">
        <f>D220/D223</f>
        <v>0.99362337866137951</v>
      </c>
      <c r="E230" s="67">
        <f t="shared" ref="E230:K230" si="148">E220/E223</f>
        <v>0.98998425196850393</v>
      </c>
      <c r="F230" s="67">
        <f t="shared" si="148"/>
        <v>0.99111355765284459</v>
      </c>
      <c r="G230" s="67">
        <f t="shared" si="148"/>
        <v>0.99330339100953835</v>
      </c>
      <c r="H230" s="67">
        <f t="shared" si="148"/>
        <v>0.99215218423390272</v>
      </c>
      <c r="I230" s="67">
        <f t="shared" si="148"/>
        <v>0.99094418666133399</v>
      </c>
      <c r="J230" s="67">
        <f t="shared" si="148"/>
        <v>0.9890172993877947</v>
      </c>
      <c r="K230" s="67" t="e">
        <f t="shared" si="148"/>
        <v>#DIV/0!</v>
      </c>
      <c r="L230" s="67" t="e">
        <f>L220/L223</f>
        <v>#DIV/0!</v>
      </c>
      <c r="M230" s="67" t="e">
        <f>M220/M223</f>
        <v>#DIV/0!</v>
      </c>
      <c r="N230" s="67" t="e">
        <f>N220/N223</f>
        <v>#DIV/0!</v>
      </c>
      <c r="O230" s="67" t="e">
        <f>O220/O223</f>
        <v>#DIV/0!</v>
      </c>
    </row>
    <row r="231" spans="1:15" ht="12.2" customHeight="1" x14ac:dyDescent="0.25">
      <c r="A231" s="38"/>
      <c r="B231" s="207"/>
      <c r="C231" s="62" t="s">
        <v>66</v>
      </c>
      <c r="D231" s="68">
        <f>D221/D223</f>
        <v>6.1137500029871741E-3</v>
      </c>
      <c r="E231" s="67">
        <f t="shared" ref="E231:K231" si="149">E221/E223</f>
        <v>9.662610355523741E-3</v>
      </c>
      <c r="F231" s="67">
        <f t="shared" si="149"/>
        <v>8.4733668225893816E-3</v>
      </c>
      <c r="G231" s="67">
        <f>G221/G223</f>
        <v>6.4948578927638816E-3</v>
      </c>
      <c r="H231" s="67">
        <f t="shared" si="149"/>
        <v>7.5743869276529057E-3</v>
      </c>
      <c r="I231" s="67">
        <f t="shared" si="149"/>
        <v>8.8782084958835671E-3</v>
      </c>
      <c r="J231" s="67">
        <f t="shared" si="149"/>
        <v>1.0419599485037333E-2</v>
      </c>
      <c r="K231" s="67" t="e">
        <f t="shared" si="149"/>
        <v>#DIV/0!</v>
      </c>
      <c r="L231" s="67" t="e">
        <f>L221/L223</f>
        <v>#DIV/0!</v>
      </c>
      <c r="M231" s="67" t="e">
        <f>M221/M223</f>
        <v>#DIV/0!</v>
      </c>
      <c r="N231" s="67" t="e">
        <f>N221/N223</f>
        <v>#DIV/0!</v>
      </c>
      <c r="O231" s="67" t="e">
        <f>O221/O223</f>
        <v>#DIV/0!</v>
      </c>
    </row>
    <row r="232" spans="1:15" ht="12.2" customHeight="1" x14ac:dyDescent="0.25">
      <c r="A232" s="38"/>
      <c r="B232" s="207"/>
      <c r="C232" s="62" t="s">
        <v>67</v>
      </c>
      <c r="D232" s="68">
        <f>D222/D223</f>
        <v>2.6287133563332476E-4</v>
      </c>
      <c r="E232" s="70">
        <f t="shared" ref="E232:K232" si="150">E222/E223</f>
        <v>3.5313767597232163E-4</v>
      </c>
      <c r="F232" s="70">
        <f t="shared" si="150"/>
        <v>4.1307552456602695E-4</v>
      </c>
      <c r="G232" s="68">
        <f t="shared" si="150"/>
        <v>2.0175109769780995E-4</v>
      </c>
      <c r="H232" s="68">
        <f t="shared" si="150"/>
        <v>2.7342883844436676E-4</v>
      </c>
      <c r="I232" s="68">
        <f t="shared" si="150"/>
        <v>1.7760484278243066E-4</v>
      </c>
      <c r="J232" s="70">
        <f t="shared" si="150"/>
        <v>5.6310112716799509E-4</v>
      </c>
      <c r="K232" s="70" t="e">
        <f t="shared" si="150"/>
        <v>#DIV/0!</v>
      </c>
      <c r="L232" s="68" t="e">
        <f>L222/L223</f>
        <v>#DIV/0!</v>
      </c>
      <c r="M232" s="68" t="e">
        <f>M222/M223</f>
        <v>#DIV/0!</v>
      </c>
      <c r="N232" s="68" t="e">
        <f>N222/N223</f>
        <v>#DIV/0!</v>
      </c>
      <c r="O232" s="68" t="e">
        <f>O222/O223</f>
        <v>#DIV/0!</v>
      </c>
    </row>
    <row r="233" spans="1:15" ht="12.2" customHeight="1" x14ac:dyDescent="0.25">
      <c r="A233" s="38"/>
      <c r="B233" s="207"/>
      <c r="C233" s="62" t="s">
        <v>68</v>
      </c>
      <c r="D233" s="69">
        <f>SUM(D230:D232)</f>
        <v>1</v>
      </c>
      <c r="E233" s="69">
        <f t="shared" ref="E233:K233" si="151">SUM(E230:E232)</f>
        <v>1</v>
      </c>
      <c r="F233" s="69">
        <f t="shared" si="151"/>
        <v>1</v>
      </c>
      <c r="G233" s="69">
        <f t="shared" si="151"/>
        <v>1</v>
      </c>
      <c r="H233" s="69">
        <f t="shared" si="151"/>
        <v>1</v>
      </c>
      <c r="I233" s="69">
        <f t="shared" si="151"/>
        <v>1</v>
      </c>
      <c r="J233" s="69">
        <f t="shared" si="151"/>
        <v>1</v>
      </c>
      <c r="K233" s="69" t="e">
        <f t="shared" si="151"/>
        <v>#DIV/0!</v>
      </c>
      <c r="L233" s="69" t="e">
        <f>SUM(L230:L232)</f>
        <v>#DIV/0!</v>
      </c>
      <c r="M233" s="69" t="e">
        <f>SUM(M230:M232)</f>
        <v>#DIV/0!</v>
      </c>
      <c r="N233" s="69" t="e">
        <f>SUM(N230:N232)</f>
        <v>#DIV/0!</v>
      </c>
      <c r="O233" s="69" t="e">
        <f>SUM(O230:O232)</f>
        <v>#DIV/0!</v>
      </c>
    </row>
    <row r="234" spans="1:15" ht="12.2" customHeight="1" x14ac:dyDescent="0.25">
      <c r="A234" s="38"/>
      <c r="B234" s="39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2" customHeight="1" x14ac:dyDescent="0.25">
      <c r="A235" s="38"/>
      <c r="B235" s="207" t="s">
        <v>17</v>
      </c>
      <c r="C235" s="62" t="s">
        <v>65</v>
      </c>
      <c r="D235" s="67">
        <f>D225/D228</f>
        <v>0.99362337866137951</v>
      </c>
      <c r="E235" s="67">
        <f t="shared" ref="E235:L235" si="152">E225/E228</f>
        <v>0.99160025921544881</v>
      </c>
      <c r="F235" s="67">
        <f t="shared" si="152"/>
        <v>0.99146143664596353</v>
      </c>
      <c r="G235" s="67">
        <f t="shared" si="152"/>
        <v>0.99198513740875993</v>
      </c>
      <c r="H235" s="67">
        <f t="shared" si="152"/>
        <v>0.99202023961434849</v>
      </c>
      <c r="I235" s="67">
        <f t="shared" si="152"/>
        <v>0.99183286686203731</v>
      </c>
      <c r="J235" s="67">
        <f t="shared" si="152"/>
        <v>0.99144682791943428</v>
      </c>
      <c r="K235" s="67">
        <f t="shared" si="152"/>
        <v>0.99144682791943428</v>
      </c>
      <c r="L235" s="67">
        <f t="shared" si="152"/>
        <v>0.99144682791943428</v>
      </c>
      <c r="M235" s="67">
        <f>M225/M228</f>
        <v>0.99144682791943428</v>
      </c>
      <c r="N235" s="67">
        <f>N225/N228</f>
        <v>0.99144682791943428</v>
      </c>
      <c r="O235" s="67">
        <f>O225/O228</f>
        <v>0.99144682791943428</v>
      </c>
    </row>
    <row r="236" spans="1:15" ht="12.2" customHeight="1" x14ac:dyDescent="0.25">
      <c r="A236" s="38"/>
      <c r="B236" s="207"/>
      <c r="C236" s="62" t="s">
        <v>66</v>
      </c>
      <c r="D236" s="67">
        <f>D226/D228</f>
        <v>6.1137500029871741E-3</v>
      </c>
      <c r="E236" s="67">
        <f t="shared" ref="E236:L236" si="153">E226/E228</f>
        <v>8.0866871926061346E-3</v>
      </c>
      <c r="F236" s="67">
        <f t="shared" si="153"/>
        <v>8.196980365931205E-3</v>
      </c>
      <c r="G236" s="67">
        <f t="shared" si="153"/>
        <v>7.713036325189211E-3</v>
      </c>
      <c r="H236" s="67">
        <f t="shared" si="153"/>
        <v>7.683901382619155E-3</v>
      </c>
      <c r="I236" s="67">
        <f t="shared" si="153"/>
        <v>7.8918656935671339E-3</v>
      </c>
      <c r="J236" s="67">
        <f t="shared" si="153"/>
        <v>8.2384401191377601E-3</v>
      </c>
      <c r="K236" s="67">
        <f t="shared" si="153"/>
        <v>8.2384401191377601E-3</v>
      </c>
      <c r="L236" s="67">
        <f t="shared" si="153"/>
        <v>8.2384401191377601E-3</v>
      </c>
      <c r="M236" s="67">
        <f>M226/M228</f>
        <v>8.2384401191377601E-3</v>
      </c>
      <c r="N236" s="67">
        <f>N226/N228</f>
        <v>8.2384401191377601E-3</v>
      </c>
      <c r="O236" s="67">
        <f>O226/O228</f>
        <v>8.2384401191377601E-3</v>
      </c>
    </row>
    <row r="237" spans="1:15" ht="12.2" customHeight="1" x14ac:dyDescent="0.25">
      <c r="A237" s="38"/>
      <c r="B237" s="207"/>
      <c r="C237" s="62" t="s">
        <v>67</v>
      </c>
      <c r="D237" s="68">
        <f>D227/D228</f>
        <v>2.6287133563332476E-4</v>
      </c>
      <c r="E237" s="68">
        <f t="shared" ref="E237:L237" si="154">E227/E228</f>
        <v>3.1305359194507801E-4</v>
      </c>
      <c r="F237" s="68">
        <f t="shared" si="154"/>
        <v>3.4158298810527631E-4</v>
      </c>
      <c r="G237" s="68">
        <f t="shared" si="154"/>
        <v>3.01826266050806E-4</v>
      </c>
      <c r="H237" s="68">
        <f t="shared" si="154"/>
        <v>2.9585900303234037E-4</v>
      </c>
      <c r="I237" s="68">
        <f t="shared" si="154"/>
        <v>2.7526744439556309E-4</v>
      </c>
      <c r="J237" s="68">
        <f t="shared" si="154"/>
        <v>3.1473196142791754E-4</v>
      </c>
      <c r="K237" s="70">
        <f t="shared" si="154"/>
        <v>3.1473196142791754E-4</v>
      </c>
      <c r="L237" s="68">
        <f t="shared" si="154"/>
        <v>3.1473196142791754E-4</v>
      </c>
      <c r="M237" s="68">
        <f>M227/M228</f>
        <v>3.1473196142791754E-4</v>
      </c>
      <c r="N237" s="70">
        <f>N227/N228</f>
        <v>3.1473196142791754E-4</v>
      </c>
      <c r="O237" s="68">
        <f>O227/O228</f>
        <v>3.1473196142791754E-4</v>
      </c>
    </row>
    <row r="238" spans="1:15" ht="12.2" customHeight="1" x14ac:dyDescent="0.25">
      <c r="A238" s="38"/>
      <c r="B238" s="207"/>
      <c r="C238" s="62" t="s">
        <v>68</v>
      </c>
      <c r="D238" s="69">
        <f>SUM(D235:D237)</f>
        <v>1</v>
      </c>
      <c r="E238" s="69">
        <f t="shared" ref="E238:L238" si="155">SUM(E235:E237)</f>
        <v>1</v>
      </c>
      <c r="F238" s="69">
        <f t="shared" si="155"/>
        <v>1</v>
      </c>
      <c r="G238" s="69">
        <f t="shared" si="155"/>
        <v>0.99999999999999989</v>
      </c>
      <c r="H238" s="69">
        <f t="shared" si="155"/>
        <v>1</v>
      </c>
      <c r="I238" s="69">
        <f t="shared" si="155"/>
        <v>1</v>
      </c>
      <c r="J238" s="69">
        <f t="shared" si="155"/>
        <v>1</v>
      </c>
      <c r="K238" s="69">
        <f t="shared" si="155"/>
        <v>1</v>
      </c>
      <c r="L238" s="69">
        <f t="shared" si="155"/>
        <v>1</v>
      </c>
      <c r="M238" s="69">
        <f>SUM(M235:M237)</f>
        <v>1</v>
      </c>
      <c r="N238" s="69">
        <f>SUM(N235:N237)</f>
        <v>1</v>
      </c>
      <c r="O238" s="69">
        <f>SUM(O235:O237)</f>
        <v>1</v>
      </c>
    </row>
    <row r="239" spans="1:15" ht="12.2" customHeight="1" x14ac:dyDescent="0.2"/>
    <row r="240" spans="1:15" ht="12.2" customHeight="1" x14ac:dyDescent="0.2"/>
    <row r="241" ht="12.2" customHeight="1" x14ac:dyDescent="0.2"/>
    <row r="242" ht="12.2" customHeight="1" x14ac:dyDescent="0.2"/>
    <row r="243" ht="12.2" customHeight="1" x14ac:dyDescent="0.2"/>
    <row r="244" ht="12.2" customHeight="1" x14ac:dyDescent="0.2"/>
    <row r="245" ht="12.2" customHeight="1" x14ac:dyDescent="0.2"/>
    <row r="246" ht="12.2" customHeight="1" x14ac:dyDescent="0.2"/>
    <row r="247" ht="12.2" customHeight="1" x14ac:dyDescent="0.2"/>
    <row r="248" ht="12.2" customHeight="1" x14ac:dyDescent="0.2"/>
    <row r="249" ht="12.2" customHeight="1" x14ac:dyDescent="0.2"/>
    <row r="250" ht="12.2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</sheetData>
  <mergeCells count="47">
    <mergeCell ref="R32:R34"/>
    <mergeCell ref="R136:R139"/>
    <mergeCell ref="R141:R144"/>
    <mergeCell ref="R146:R149"/>
    <mergeCell ref="R151:R154"/>
    <mergeCell ref="B172:B175"/>
    <mergeCell ref="B178:B181"/>
    <mergeCell ref="B235:B238"/>
    <mergeCell ref="B183:B186"/>
    <mergeCell ref="B188:B191"/>
    <mergeCell ref="B193:B196"/>
    <mergeCell ref="B220:B223"/>
    <mergeCell ref="B225:B228"/>
    <mergeCell ref="B230:B233"/>
    <mergeCell ref="B199:B202"/>
    <mergeCell ref="B204:B207"/>
    <mergeCell ref="B209:B212"/>
    <mergeCell ref="B214:B217"/>
    <mergeCell ref="B146:B149"/>
    <mergeCell ref="B151:B154"/>
    <mergeCell ref="B157:B160"/>
    <mergeCell ref="B162:B165"/>
    <mergeCell ref="B167:B170"/>
    <mergeCell ref="B120:B123"/>
    <mergeCell ref="B125:B128"/>
    <mergeCell ref="B130:B133"/>
    <mergeCell ref="B136:B139"/>
    <mergeCell ref="B141:B144"/>
    <mergeCell ref="A2:C2"/>
    <mergeCell ref="B73:B76"/>
    <mergeCell ref="B78:B81"/>
    <mergeCell ref="B83:B86"/>
    <mergeCell ref="B88:B91"/>
    <mergeCell ref="B8:B10"/>
    <mergeCell ref="B16:B18"/>
    <mergeCell ref="B24:B26"/>
    <mergeCell ref="B32:B34"/>
    <mergeCell ref="B40:B42"/>
    <mergeCell ref="B48:B50"/>
    <mergeCell ref="B56:B58"/>
    <mergeCell ref="B104:B107"/>
    <mergeCell ref="B109:B112"/>
    <mergeCell ref="B115:B118"/>
    <mergeCell ref="B61:B63"/>
    <mergeCell ref="B66:B68"/>
    <mergeCell ref="B94:B97"/>
    <mergeCell ref="B99:B102"/>
  </mergeCells>
  <printOptions horizontalCentered="1"/>
  <pageMargins left="0" right="0" top="0" bottom="0" header="0" footer="0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50"/>
  <sheetViews>
    <sheetView showGridLines="0" zoomScale="130" zoomScaleNormal="130" zoomScaleSheetLayoutView="80" workbookViewId="0">
      <pane ySplit="3" topLeftCell="A4" activePane="bottomLeft" state="frozen"/>
      <selection activeCell="U12" sqref="U12"/>
      <selection pane="bottomLeft" activeCell="S14" sqref="S14"/>
    </sheetView>
  </sheetViews>
  <sheetFormatPr defaultColWidth="9.140625" defaultRowHeight="12" x14ac:dyDescent="0.2"/>
  <cols>
    <col min="1" max="1" width="1.7109375" style="6" customWidth="1"/>
    <col min="2" max="2" width="14.42578125" style="6" customWidth="1"/>
    <col min="3" max="3" width="19.28515625" style="6" bestFit="1" customWidth="1"/>
    <col min="4" max="4" width="10.5703125" style="6" customWidth="1"/>
    <col min="5" max="5" width="8.7109375" style="32" hidden="1" customWidth="1"/>
    <col min="6" max="12" width="7.7109375" style="6" customWidth="1"/>
    <col min="13" max="13" width="1.42578125" style="6" customWidth="1"/>
    <col min="14" max="14" width="1.85546875" style="6" customWidth="1"/>
    <col min="15" max="16" width="5.7109375" style="6" customWidth="1"/>
    <col min="17" max="18" width="11" style="6" bestFit="1" customWidth="1"/>
    <col min="19" max="19" width="8.7109375" style="6" customWidth="1"/>
    <col min="20" max="20" width="13.28515625" style="6" customWidth="1"/>
    <col min="21" max="29" width="5.7109375" style="6" customWidth="1"/>
    <col min="30" max="16384" width="9.140625" style="6"/>
  </cols>
  <sheetData>
    <row r="1" spans="1:20" ht="10.15" customHeight="1" thickTop="1" x14ac:dyDescent="0.2">
      <c r="A1" s="1"/>
      <c r="B1" s="2"/>
      <c r="C1" s="3"/>
      <c r="D1" s="2"/>
      <c r="E1" s="4"/>
      <c r="F1" s="2"/>
      <c r="G1" s="2"/>
      <c r="H1" s="2"/>
      <c r="I1" s="2"/>
      <c r="J1" s="2"/>
      <c r="K1" s="2"/>
      <c r="L1" s="2"/>
      <c r="M1" s="5"/>
    </row>
    <row r="2" spans="1:20" ht="15" customHeight="1" x14ac:dyDescent="0.2">
      <c r="A2" s="7"/>
      <c r="B2" s="195" t="s">
        <v>1</v>
      </c>
      <c r="C2" s="195" t="s">
        <v>2</v>
      </c>
      <c r="D2" s="196" t="s">
        <v>79</v>
      </c>
      <c r="E2" s="196" t="s">
        <v>34</v>
      </c>
      <c r="F2" s="197" t="s">
        <v>3</v>
      </c>
      <c r="G2" s="198"/>
      <c r="H2" s="198"/>
      <c r="I2" s="198"/>
      <c r="J2" s="198"/>
      <c r="K2" s="198"/>
      <c r="L2" s="198"/>
      <c r="M2" s="8"/>
    </row>
    <row r="3" spans="1:20" ht="22.9" customHeight="1" x14ac:dyDescent="0.2">
      <c r="A3" s="7"/>
      <c r="B3" s="195"/>
      <c r="C3" s="195"/>
      <c r="D3" s="196"/>
      <c r="E3" s="196"/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185" t="s">
        <v>9</v>
      </c>
      <c r="L3" s="9" t="s">
        <v>10</v>
      </c>
      <c r="M3" s="8"/>
    </row>
    <row r="4" spans="1:20" ht="13.9" customHeight="1" x14ac:dyDescent="0.2">
      <c r="A4" s="7"/>
      <c r="B4" s="36" t="s">
        <v>18</v>
      </c>
      <c r="C4" s="11" t="s">
        <v>31</v>
      </c>
      <c r="D4" s="12"/>
      <c r="E4" s="13"/>
      <c r="F4" s="14"/>
      <c r="G4" s="14"/>
      <c r="H4" s="14"/>
      <c r="I4" s="14"/>
      <c r="J4" s="14"/>
      <c r="K4" s="12"/>
      <c r="L4" s="14"/>
      <c r="M4" s="8"/>
    </row>
    <row r="5" spans="1:20" ht="13.9" customHeight="1" x14ac:dyDescent="0.2">
      <c r="A5" s="7"/>
      <c r="B5" s="36"/>
      <c r="C5" s="10" t="s">
        <v>19</v>
      </c>
      <c r="D5" s="15">
        <v>540</v>
      </c>
      <c r="E5" s="72">
        <v>537.35407905803197</v>
      </c>
      <c r="F5" s="123">
        <v>440.21871139034204</v>
      </c>
      <c r="G5" s="123">
        <v>449.13812244455875</v>
      </c>
      <c r="H5" s="123">
        <v>454.16947904522306</v>
      </c>
      <c r="I5" s="123">
        <v>458.80246466110913</v>
      </c>
      <c r="J5" s="123">
        <v>455.38470020675396</v>
      </c>
      <c r="K5" s="123">
        <v>457.14548779064489</v>
      </c>
      <c r="L5" s="123">
        <v>457.51863403288053</v>
      </c>
      <c r="M5" s="8"/>
      <c r="N5" s="17"/>
    </row>
    <row r="6" spans="1:20" ht="13.9" customHeight="1" x14ac:dyDescent="0.2">
      <c r="A6" s="7"/>
      <c r="B6" s="36"/>
      <c r="C6" s="10" t="s">
        <v>20</v>
      </c>
      <c r="D6" s="15">
        <v>550</v>
      </c>
      <c r="E6" s="72">
        <v>565.84341878325984</v>
      </c>
      <c r="F6" s="123">
        <v>473.65622104850956</v>
      </c>
      <c r="G6" s="123">
        <v>455.17729968946986</v>
      </c>
      <c r="H6" s="123">
        <v>443.79730471370203</v>
      </c>
      <c r="I6" s="123">
        <v>414.33667433905862</v>
      </c>
      <c r="J6" s="123">
        <v>443.98242633706286</v>
      </c>
      <c r="K6" s="123">
        <v>440.40308829603583</v>
      </c>
      <c r="L6" s="123">
        <v>441.4709038874314</v>
      </c>
      <c r="M6" s="8"/>
      <c r="N6" s="17"/>
      <c r="R6" s="107"/>
    </row>
    <row r="7" spans="1:20" ht="13.9" customHeight="1" x14ac:dyDescent="0.2">
      <c r="A7" s="7"/>
      <c r="B7" s="36"/>
      <c r="C7" s="10" t="s">
        <v>21</v>
      </c>
      <c r="D7" s="15">
        <v>355</v>
      </c>
      <c r="E7" s="72">
        <v>255.52571241401898</v>
      </c>
      <c r="F7" s="123">
        <v>195.34378083023449</v>
      </c>
      <c r="G7" s="123">
        <v>214.69456749825133</v>
      </c>
      <c r="H7" s="123">
        <v>205.20642458726283</v>
      </c>
      <c r="I7" s="123">
        <v>214.00496677629371</v>
      </c>
      <c r="J7" s="123">
        <v>211.25409733693718</v>
      </c>
      <c r="K7" s="123">
        <v>201.35463516144191</v>
      </c>
      <c r="L7" s="123">
        <v>210.15225563909775</v>
      </c>
      <c r="M7" s="8"/>
      <c r="N7" s="17"/>
      <c r="R7" s="107"/>
    </row>
    <row r="8" spans="1:20" ht="13.9" customHeight="1" x14ac:dyDescent="0.2">
      <c r="A8" s="7"/>
      <c r="B8" s="36"/>
      <c r="C8" s="10" t="s">
        <v>22</v>
      </c>
      <c r="D8" s="15">
        <v>535</v>
      </c>
      <c r="E8" s="72">
        <v>537.63713080168782</v>
      </c>
      <c r="F8" s="123">
        <v>431.52985864776571</v>
      </c>
      <c r="G8" s="123">
        <v>445.0710631040364</v>
      </c>
      <c r="H8" s="123">
        <v>448.28354303180021</v>
      </c>
      <c r="I8" s="123">
        <v>429.66083247536403</v>
      </c>
      <c r="J8" s="123">
        <v>440.34578395706518</v>
      </c>
      <c r="K8" s="123">
        <v>427.59333289063022</v>
      </c>
      <c r="L8" s="123">
        <v>440.15541113308842</v>
      </c>
      <c r="M8" s="8"/>
      <c r="N8" s="17"/>
      <c r="R8" s="107"/>
    </row>
    <row r="9" spans="1:20" ht="13.9" customHeight="1" x14ac:dyDescent="0.2">
      <c r="A9" s="7"/>
      <c r="B9" s="36"/>
      <c r="C9" s="10"/>
      <c r="D9" s="15"/>
      <c r="E9" s="72"/>
      <c r="F9" s="72"/>
      <c r="G9" s="72"/>
      <c r="H9" s="72"/>
      <c r="I9" s="72"/>
      <c r="J9" s="18"/>
      <c r="K9" s="18"/>
      <c r="L9" s="18"/>
      <c r="M9" s="8"/>
      <c r="N9" s="17"/>
    </row>
    <row r="10" spans="1:20" ht="13.9" customHeight="1" x14ac:dyDescent="0.2">
      <c r="A10" s="7"/>
      <c r="B10" s="36" t="s">
        <v>15</v>
      </c>
      <c r="C10" s="22" t="s">
        <v>32</v>
      </c>
      <c r="D10" s="15"/>
      <c r="E10" s="15"/>
      <c r="F10" s="20"/>
      <c r="G10" s="20"/>
      <c r="H10" s="20"/>
      <c r="I10" s="21"/>
      <c r="J10" s="21"/>
      <c r="K10" s="21"/>
      <c r="L10" s="21"/>
      <c r="M10" s="8"/>
      <c r="P10" s="33"/>
      <c r="Q10" s="33"/>
      <c r="R10" s="33"/>
    </row>
    <row r="11" spans="1:20" ht="13.9" customHeight="1" x14ac:dyDescent="0.2">
      <c r="A11" s="7"/>
      <c r="B11" s="36"/>
      <c r="C11" s="10" t="s">
        <v>23</v>
      </c>
      <c r="D11" s="23">
        <v>0.01</v>
      </c>
      <c r="E11" s="23"/>
      <c r="F11" s="108">
        <v>2.1540698457147471E-3</v>
      </c>
      <c r="G11" s="108">
        <v>5.2051704693328708E-4</v>
      </c>
      <c r="H11" s="108">
        <v>2.2372418340673057E-4</v>
      </c>
      <c r="I11" s="108">
        <v>1.8190900076789456E-3</v>
      </c>
      <c r="J11" s="108">
        <v>1.1330277591800999E-4</v>
      </c>
      <c r="K11" s="108">
        <v>2.767697376122548E-3</v>
      </c>
      <c r="L11" s="108">
        <v>1.2470921169388685E-3</v>
      </c>
      <c r="M11" s="8"/>
      <c r="P11" s="33"/>
      <c r="Q11" s="33"/>
      <c r="R11" s="33"/>
    </row>
    <row r="12" spans="1:20" ht="13.9" customHeight="1" x14ac:dyDescent="0.2">
      <c r="A12" s="7"/>
      <c r="B12" s="10"/>
      <c r="C12" s="10" t="s">
        <v>24</v>
      </c>
      <c r="D12" s="23">
        <v>0.01</v>
      </c>
      <c r="E12" s="23"/>
      <c r="F12" s="108">
        <v>5.9926048705852353E-3</v>
      </c>
      <c r="G12" s="122">
        <v>1.75985643537361E-2</v>
      </c>
      <c r="H12" s="122">
        <v>1.4827985016657748E-2</v>
      </c>
      <c r="I12" s="108">
        <v>6.6699598548656857E-3</v>
      </c>
      <c r="J12" s="108">
        <v>8.1402370437027129E-4</v>
      </c>
      <c r="K12" s="122">
        <v>1.4187320455982809E-2</v>
      </c>
      <c r="L12" s="108">
        <v>9.2252659324108064E-3</v>
      </c>
      <c r="M12" s="8"/>
      <c r="P12" s="33"/>
      <c r="Q12" s="33"/>
      <c r="R12" s="33"/>
    </row>
    <row r="13" spans="1:20" ht="13.9" customHeight="1" x14ac:dyDescent="0.2">
      <c r="A13" s="7"/>
      <c r="B13" s="10"/>
      <c r="C13" s="10" t="s">
        <v>25</v>
      </c>
      <c r="D13" s="23">
        <v>0.01</v>
      </c>
      <c r="E13" s="23"/>
      <c r="F13" s="122">
        <v>3.7548034631232928E-2</v>
      </c>
      <c r="G13" s="122">
        <v>3.5991074213595028E-2</v>
      </c>
      <c r="H13" s="122">
        <v>3.2952929341982032E-2</v>
      </c>
      <c r="I13" s="122">
        <v>3.8486486486486483E-2</v>
      </c>
      <c r="J13" s="122">
        <v>3.0477097532664664E-2</v>
      </c>
      <c r="K13" s="122">
        <v>4.0752712999307321E-2</v>
      </c>
      <c r="L13" s="122">
        <v>3.7100053948624312E-2</v>
      </c>
      <c r="M13" s="8"/>
      <c r="P13" s="33"/>
      <c r="Q13" s="33"/>
      <c r="R13" s="33"/>
    </row>
    <row r="14" spans="1:20" ht="13.9" customHeight="1" x14ac:dyDescent="0.2">
      <c r="A14" s="7"/>
      <c r="B14" s="10"/>
      <c r="C14" s="10" t="s">
        <v>26</v>
      </c>
      <c r="D14" s="23">
        <v>0.01</v>
      </c>
      <c r="E14" s="23"/>
      <c r="F14" s="122">
        <v>1.2898856710353344E-2</v>
      </c>
      <c r="G14" s="122">
        <v>1.8018556870602838E-2</v>
      </c>
      <c r="H14" s="122">
        <v>1.5369595267324627E-2</v>
      </c>
      <c r="I14" s="108">
        <v>2.9494299173316928E-3</v>
      </c>
      <c r="J14" s="108">
        <v>5.6271277768252959E-3</v>
      </c>
      <c r="K14" s="108">
        <v>5.6098924130222163E-3</v>
      </c>
      <c r="L14" s="108">
        <v>1.0168842284188916E-2</v>
      </c>
      <c r="M14" s="8"/>
      <c r="P14" s="33"/>
      <c r="Q14" s="33"/>
      <c r="R14" s="33"/>
    </row>
    <row r="15" spans="1:20" ht="13.9" customHeight="1" x14ac:dyDescent="0.2">
      <c r="A15" s="7"/>
      <c r="B15" s="10"/>
      <c r="C15" s="10"/>
      <c r="D15" s="15"/>
      <c r="E15" s="15"/>
      <c r="F15" s="24"/>
      <c r="G15" s="24"/>
      <c r="H15" s="24"/>
      <c r="I15" s="24"/>
      <c r="J15" s="24"/>
      <c r="K15" s="24"/>
      <c r="L15" s="24"/>
      <c r="M15" s="8"/>
      <c r="Q15" s="33"/>
      <c r="R15" s="33"/>
      <c r="S15" s="33"/>
      <c r="T15" s="33"/>
    </row>
    <row r="16" spans="1:20" ht="13.9" customHeight="1" x14ac:dyDescent="0.2">
      <c r="A16" s="7"/>
      <c r="B16" s="10"/>
      <c r="C16" s="22" t="s">
        <v>33</v>
      </c>
      <c r="D16" s="15"/>
      <c r="E16" s="15"/>
      <c r="F16" s="24"/>
      <c r="G16" s="24"/>
      <c r="H16" s="24"/>
      <c r="I16" s="24"/>
      <c r="J16" s="24"/>
      <c r="K16" s="24"/>
      <c r="L16" s="24"/>
      <c r="M16" s="8"/>
    </row>
    <row r="17" spans="1:20" ht="13.9" customHeight="1" x14ac:dyDescent="0.2">
      <c r="A17" s="7"/>
      <c r="B17" s="10"/>
      <c r="C17" s="10" t="s">
        <v>27</v>
      </c>
      <c r="D17" s="73">
        <v>2.0000000000000001E-4</v>
      </c>
      <c r="E17" s="25"/>
      <c r="F17" s="179">
        <v>3.5901164095245788E-5</v>
      </c>
      <c r="G17" s="120">
        <v>1.7350568231109568E-4</v>
      </c>
      <c r="H17" s="120">
        <v>5.5342298000612294E-4</v>
      </c>
      <c r="I17" s="179">
        <v>5.9642295333735917E-5</v>
      </c>
      <c r="J17" s="179">
        <v>1.0300252356182726E-4</v>
      </c>
      <c r="K17" s="179">
        <v>1.0033948191380838E-4</v>
      </c>
      <c r="L17" s="179">
        <v>1.4389524426217714E-4</v>
      </c>
      <c r="M17" s="8"/>
      <c r="Q17" s="33"/>
      <c r="R17" s="33"/>
      <c r="S17" s="33"/>
      <c r="T17" s="33"/>
    </row>
    <row r="18" spans="1:20" ht="13.9" customHeight="1" x14ac:dyDescent="0.2">
      <c r="A18" s="7"/>
      <c r="B18" s="10"/>
      <c r="C18" s="10" t="s">
        <v>28</v>
      </c>
      <c r="D18" s="73">
        <v>2.0000000000000001E-4</v>
      </c>
      <c r="E18" s="25"/>
      <c r="F18" s="179">
        <v>5.9681895497000988E-5</v>
      </c>
      <c r="G18" s="120">
        <v>1.9581501182326083E-4</v>
      </c>
      <c r="H18" s="120">
        <v>2.6928587457492536E-4</v>
      </c>
      <c r="I18" s="179">
        <v>0</v>
      </c>
      <c r="J18" s="179">
        <v>1.0064293072214263E-4</v>
      </c>
      <c r="K18" s="179">
        <v>1.0697912963038711E-4</v>
      </c>
      <c r="L18" s="120">
        <v>2.0823884139331753E-4</v>
      </c>
      <c r="M18" s="8"/>
      <c r="Q18" s="33"/>
      <c r="R18" s="33"/>
      <c r="S18" s="33"/>
      <c r="T18" s="33"/>
    </row>
    <row r="19" spans="1:20" ht="13.9" customHeight="1" x14ac:dyDescent="0.2">
      <c r="A19" s="7"/>
      <c r="B19" s="10"/>
      <c r="C19" s="10" t="s">
        <v>29</v>
      </c>
      <c r="D19" s="73">
        <v>2.0000000000000001E-4</v>
      </c>
      <c r="E19" s="73"/>
      <c r="F19" s="120">
        <v>2.4075188666141949E-3</v>
      </c>
      <c r="G19" s="120">
        <v>2.0155001559613215E-3</v>
      </c>
      <c r="H19" s="120">
        <v>5.203094106628742E-4</v>
      </c>
      <c r="I19" s="179">
        <v>1.4414414414414415E-4</v>
      </c>
      <c r="J19" s="179">
        <v>2.3810232447394269E-4</v>
      </c>
      <c r="K19" s="120">
        <v>2.3089355806972986E-4</v>
      </c>
      <c r="L19" s="120">
        <v>2.4899365066190812E-4</v>
      </c>
      <c r="M19" s="8"/>
      <c r="Q19" s="33"/>
      <c r="R19" s="33"/>
      <c r="S19" s="33"/>
      <c r="T19" s="33"/>
    </row>
    <row r="20" spans="1:20" ht="13.9" customHeight="1" x14ac:dyDescent="0.2">
      <c r="A20" s="7"/>
      <c r="B20" s="10"/>
      <c r="C20" s="10" t="s">
        <v>30</v>
      </c>
      <c r="D20" s="73">
        <v>2.0000000000000001E-4</v>
      </c>
      <c r="E20" s="25"/>
      <c r="F20" s="179">
        <v>1.4340915428434848E-4</v>
      </c>
      <c r="G20" s="120">
        <v>1.0467211460101233E-4</v>
      </c>
      <c r="H20" s="120">
        <v>1.9332824235628461E-4</v>
      </c>
      <c r="I20" s="179">
        <v>8.4269426209476941E-6</v>
      </c>
      <c r="J20" s="179">
        <v>1.1021577800093072E-4</v>
      </c>
      <c r="K20" s="179">
        <v>5.588933910856504E-5</v>
      </c>
      <c r="L20" s="120">
        <v>2.453928979704212E-4</v>
      </c>
      <c r="M20" s="8"/>
      <c r="Q20" s="33"/>
      <c r="R20" s="33"/>
      <c r="S20" s="33"/>
      <c r="T20" s="33"/>
    </row>
    <row r="21" spans="1:20" ht="13.9" customHeight="1" x14ac:dyDescent="0.2">
      <c r="A21" s="7"/>
      <c r="B21" s="26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8"/>
      <c r="Q21" s="89"/>
      <c r="R21" s="89"/>
      <c r="S21" s="90"/>
      <c r="T21" s="91"/>
    </row>
    <row r="22" spans="1:20" ht="13.9" customHeight="1" x14ac:dyDescent="0.2">
      <c r="A22" s="7"/>
      <c r="B22" s="97"/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8"/>
      <c r="Q22" s="89"/>
      <c r="R22" s="89"/>
      <c r="S22" s="90"/>
      <c r="T22" s="91"/>
    </row>
    <row r="23" spans="1:20" ht="13.9" customHeight="1" x14ac:dyDescent="0.2">
      <c r="A23" s="7"/>
      <c r="B23" s="97"/>
      <c r="C23" s="97"/>
      <c r="D23" s="98"/>
      <c r="E23" s="98"/>
      <c r="F23" s="98"/>
      <c r="G23" s="98"/>
      <c r="H23" s="98"/>
      <c r="I23" s="98"/>
      <c r="J23" s="99"/>
      <c r="K23" s="99"/>
      <c r="L23" s="99"/>
      <c r="M23" s="8"/>
      <c r="Q23" s="89"/>
      <c r="R23" s="89"/>
      <c r="S23" s="90"/>
      <c r="T23" s="91"/>
    </row>
    <row r="24" spans="1:20" ht="13.9" customHeight="1" x14ac:dyDescent="0.2">
      <c r="A24" s="7"/>
      <c r="B24" s="97"/>
      <c r="C24" s="97"/>
      <c r="D24" s="98"/>
      <c r="E24" s="98"/>
      <c r="F24" s="98"/>
      <c r="G24" s="98"/>
      <c r="H24" s="98"/>
      <c r="I24" s="98"/>
      <c r="J24" s="99"/>
      <c r="K24" s="99"/>
      <c r="L24" s="99"/>
      <c r="M24" s="8"/>
      <c r="Q24" s="89"/>
      <c r="R24" s="89"/>
      <c r="S24" s="90"/>
      <c r="T24" s="91"/>
    </row>
    <row r="25" spans="1:20" ht="13.9" customHeight="1" x14ac:dyDescent="0.2">
      <c r="A25" s="7"/>
      <c r="B25" s="97"/>
      <c r="C25" s="97"/>
      <c r="D25" s="98"/>
      <c r="E25" s="98"/>
      <c r="F25" s="98"/>
      <c r="G25" s="98"/>
      <c r="H25" s="98"/>
      <c r="I25" s="98"/>
      <c r="J25" s="99"/>
      <c r="K25" s="99"/>
      <c r="L25" s="99"/>
      <c r="M25" s="8"/>
      <c r="Q25" s="89"/>
      <c r="R25" s="89"/>
      <c r="S25" s="90"/>
      <c r="T25" s="91"/>
    </row>
    <row r="26" spans="1:20" ht="13.9" customHeight="1" x14ac:dyDescent="0.2">
      <c r="A26" s="7"/>
      <c r="B26" s="97"/>
      <c r="C26" s="97"/>
      <c r="D26" s="98"/>
      <c r="E26" s="98"/>
      <c r="F26" s="98"/>
      <c r="G26" s="98"/>
      <c r="H26" s="98"/>
      <c r="I26" s="98"/>
      <c r="J26" s="99"/>
      <c r="K26" s="99"/>
      <c r="L26" s="99"/>
      <c r="M26" s="8"/>
      <c r="Q26" s="89"/>
      <c r="R26" s="89"/>
      <c r="S26" s="90"/>
      <c r="T26" s="91"/>
    </row>
    <row r="27" spans="1:20" ht="13.9" customHeight="1" x14ac:dyDescent="0.2">
      <c r="A27" s="7"/>
      <c r="B27" s="97"/>
      <c r="C27" s="97"/>
      <c r="D27" s="98"/>
      <c r="E27" s="98"/>
      <c r="F27" s="98"/>
      <c r="G27" s="98"/>
      <c r="H27" s="98"/>
      <c r="I27" s="98"/>
      <c r="J27" s="99"/>
      <c r="K27" s="99"/>
      <c r="L27" s="99"/>
      <c r="M27" s="8"/>
      <c r="Q27" s="89"/>
      <c r="R27" s="89"/>
      <c r="S27" s="90"/>
      <c r="T27" s="91"/>
    </row>
    <row r="28" spans="1:20" ht="13.9" customHeight="1" x14ac:dyDescent="0.2">
      <c r="A28" s="7"/>
      <c r="B28" s="97"/>
      <c r="C28" s="97"/>
      <c r="D28" s="98"/>
      <c r="E28" s="98"/>
      <c r="F28" s="98"/>
      <c r="G28" s="98"/>
      <c r="H28" s="98"/>
      <c r="I28" s="98"/>
      <c r="J28" s="99"/>
      <c r="K28" s="99"/>
      <c r="L28" s="99"/>
      <c r="M28" s="8"/>
      <c r="Q28" s="89"/>
      <c r="R28" s="89"/>
      <c r="S28" s="90"/>
      <c r="T28" s="91"/>
    </row>
    <row r="29" spans="1:20" ht="13.9" customHeight="1" x14ac:dyDescent="0.2">
      <c r="A29" s="7"/>
      <c r="B29" s="97"/>
      <c r="C29" s="97"/>
      <c r="D29" s="98"/>
      <c r="E29" s="98"/>
      <c r="F29" s="98"/>
      <c r="G29" s="98"/>
      <c r="H29" s="98"/>
      <c r="I29" s="98"/>
      <c r="J29" s="99"/>
      <c r="K29" s="99"/>
      <c r="L29" s="99"/>
      <c r="M29" s="8"/>
      <c r="Q29" s="89"/>
      <c r="R29" s="89"/>
      <c r="S29" s="90"/>
      <c r="T29" s="91"/>
    </row>
    <row r="30" spans="1:20" ht="10.15" customHeight="1" thickBot="1" x14ac:dyDescent="0.25">
      <c r="A30" s="28"/>
      <c r="B30" s="29"/>
      <c r="C30" s="29"/>
      <c r="D30" s="29"/>
      <c r="E30" s="30"/>
      <c r="F30" s="29"/>
      <c r="G30" s="29"/>
      <c r="H30" s="29"/>
      <c r="I30" s="29"/>
      <c r="J30" s="29"/>
      <c r="K30" s="29"/>
      <c r="L30" s="29"/>
      <c r="M30" s="31"/>
    </row>
    <row r="31" spans="1:20" ht="6" customHeight="1" thickTop="1" x14ac:dyDescent="0.2"/>
    <row r="32" spans="1:20" ht="18.75" x14ac:dyDescent="0.2">
      <c r="E32" s="6"/>
      <c r="F32" s="33"/>
      <c r="G32" s="33"/>
      <c r="H32" s="33"/>
      <c r="I32" s="33"/>
      <c r="J32" s="33"/>
      <c r="K32" s="33"/>
      <c r="L32" s="34"/>
      <c r="M32" s="34"/>
      <c r="N32" s="34"/>
      <c r="O32" s="34"/>
      <c r="P32" s="34"/>
      <c r="Q32" s="34"/>
    </row>
    <row r="33" spans="3:17" s="34" customFormat="1" ht="16.149999999999999" customHeight="1" x14ac:dyDescent="0.2">
      <c r="D33" s="6"/>
      <c r="E33" s="6"/>
      <c r="F33" s="6"/>
      <c r="G33" s="6"/>
      <c r="H33" s="6"/>
      <c r="I33" s="6"/>
      <c r="J33" s="6"/>
    </row>
    <row r="34" spans="3:17" s="34" customFormat="1" ht="27.75" customHeight="1" x14ac:dyDescent="0.2">
      <c r="D34" s="6"/>
      <c r="E34" s="6"/>
      <c r="F34" s="6"/>
      <c r="G34" s="6"/>
      <c r="H34" s="6"/>
      <c r="I34" s="6"/>
      <c r="J34" s="6"/>
    </row>
    <row r="35" spans="3:17" s="34" customFormat="1" ht="27.75" customHeight="1" x14ac:dyDescent="0.2">
      <c r="D35" s="6"/>
      <c r="E35" s="6"/>
      <c r="F35" s="6"/>
      <c r="G35" s="6"/>
      <c r="H35" s="6"/>
      <c r="I35" s="6"/>
      <c r="J35" s="6"/>
    </row>
    <row r="36" spans="3:17" s="34" customFormat="1" ht="16.149999999999999" customHeight="1" x14ac:dyDescent="0.2">
      <c r="D36" s="6"/>
      <c r="E36" s="6"/>
      <c r="F36" s="6"/>
      <c r="G36" s="6"/>
      <c r="H36" s="6"/>
      <c r="I36" s="6"/>
      <c r="J36" s="6"/>
    </row>
    <row r="37" spans="3:17" ht="16.149999999999999" customHeight="1" x14ac:dyDescent="0.2">
      <c r="E37" s="6"/>
      <c r="L37" s="34"/>
      <c r="M37" s="34"/>
      <c r="N37" s="34"/>
      <c r="O37" s="34"/>
      <c r="P37" s="34"/>
      <c r="Q37" s="34"/>
    </row>
    <row r="38" spans="3:17" ht="18.75" x14ac:dyDescent="0.2">
      <c r="C38" s="35"/>
      <c r="E38" s="6"/>
      <c r="L38" s="34"/>
      <c r="M38" s="34"/>
      <c r="N38" s="34"/>
      <c r="O38" s="34"/>
      <c r="P38" s="34"/>
      <c r="Q38" s="34"/>
    </row>
    <row r="39" spans="3:17" ht="18.75" x14ac:dyDescent="0.2">
      <c r="E39" s="6"/>
      <c r="L39" s="34"/>
      <c r="M39" s="34"/>
      <c r="N39" s="34"/>
      <c r="O39" s="34"/>
      <c r="P39" s="34"/>
      <c r="Q39" s="34"/>
    </row>
    <row r="40" spans="3:17" x14ac:dyDescent="0.2">
      <c r="E40" s="6"/>
    </row>
    <row r="41" spans="3:17" x14ac:dyDescent="0.2">
      <c r="E41" s="6"/>
    </row>
    <row r="45" spans="3:17" ht="15.6" customHeight="1" x14ac:dyDescent="0.2"/>
    <row r="46" spans="3:17" ht="16.149999999999999" customHeight="1" x14ac:dyDescent="0.2"/>
    <row r="47" spans="3:17" ht="27.75" customHeight="1" x14ac:dyDescent="0.2"/>
    <row r="48" spans="3:17" ht="27.75" customHeight="1" x14ac:dyDescent="0.2"/>
    <row r="49" ht="16.149999999999999" customHeight="1" x14ac:dyDescent="0.2"/>
    <row r="50" ht="16.149999999999999" customHeight="1" x14ac:dyDescent="0.2"/>
  </sheetData>
  <mergeCells count="5">
    <mergeCell ref="B2:B3"/>
    <mergeCell ref="C2:C3"/>
    <mergeCell ref="D2:D3"/>
    <mergeCell ref="E2:E3"/>
    <mergeCell ref="F2:L2"/>
  </mergeCells>
  <printOptions horizontalCentered="1" verticalCentered="1"/>
  <pageMargins left="0" right="0" top="0" bottom="0" header="0" footer="0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J18"/>
  <sheetViews>
    <sheetView showGridLines="0" workbookViewId="0">
      <selection activeCell="M23" sqref="M23"/>
    </sheetView>
  </sheetViews>
  <sheetFormatPr defaultRowHeight="12.75" x14ac:dyDescent="0.2"/>
  <cols>
    <col min="8" max="9" width="12" customWidth="1"/>
    <col min="10" max="10" width="10.42578125" customWidth="1"/>
  </cols>
  <sheetData>
    <row r="2" spans="7:10" s="164" customFormat="1" ht="25.15" customHeight="1" x14ac:dyDescent="0.2">
      <c r="G2" s="214" t="s">
        <v>607</v>
      </c>
      <c r="H2" s="215"/>
      <c r="I2" s="215"/>
      <c r="J2" s="216"/>
    </row>
    <row r="3" spans="7:10" s="164" customFormat="1" ht="25.15" customHeight="1" x14ac:dyDescent="0.2">
      <c r="G3" s="165"/>
      <c r="H3" s="165"/>
      <c r="I3" s="165"/>
      <c r="J3" s="165"/>
    </row>
    <row r="4" spans="7:10" x14ac:dyDescent="0.2">
      <c r="I4" s="166" t="s">
        <v>34</v>
      </c>
      <c r="J4" s="166" t="s">
        <v>608</v>
      </c>
    </row>
    <row r="5" spans="7:10" ht="15" x14ac:dyDescent="0.2">
      <c r="G5" s="213" t="s">
        <v>44</v>
      </c>
      <c r="H5" s="159" t="s">
        <v>60</v>
      </c>
      <c r="I5" s="167">
        <v>538</v>
      </c>
      <c r="J5" s="158">
        <v>495.21340364588275</v>
      </c>
    </row>
    <row r="6" spans="7:10" ht="15" x14ac:dyDescent="0.2">
      <c r="G6" s="213"/>
      <c r="H6" s="159" t="s">
        <v>69</v>
      </c>
      <c r="I6" s="167">
        <v>569</v>
      </c>
      <c r="J6" s="158">
        <v>536.03480656066108</v>
      </c>
    </row>
    <row r="7" spans="7:10" ht="15" x14ac:dyDescent="0.2">
      <c r="G7" s="213"/>
      <c r="H7" s="159" t="s">
        <v>70</v>
      </c>
      <c r="I7" s="167">
        <v>264</v>
      </c>
      <c r="J7" s="158">
        <v>193.10992782139994</v>
      </c>
    </row>
    <row r="8" spans="7:10" ht="15" x14ac:dyDescent="0.2">
      <c r="G8" s="213"/>
      <c r="H8" s="159" t="s">
        <v>71</v>
      </c>
      <c r="I8" s="167">
        <v>540</v>
      </c>
      <c r="J8" s="158">
        <v>519.24702340478416</v>
      </c>
    </row>
    <row r="9" spans="7:10" x14ac:dyDescent="0.2">
      <c r="G9" s="160"/>
      <c r="H9" s="160"/>
      <c r="I9" s="160"/>
      <c r="J9" s="161"/>
    </row>
    <row r="10" spans="7:10" x14ac:dyDescent="0.2">
      <c r="G10" s="213" t="s">
        <v>62</v>
      </c>
      <c r="H10" s="159" t="s">
        <v>60</v>
      </c>
      <c r="I10" s="168">
        <v>1.2500000000000001E-2</v>
      </c>
      <c r="J10" s="162">
        <v>2.8922079755091232E-2</v>
      </c>
    </row>
    <row r="11" spans="7:10" x14ac:dyDescent="0.2">
      <c r="G11" s="213"/>
      <c r="H11" s="159" t="s">
        <v>69</v>
      </c>
      <c r="I11" s="168">
        <v>1.2500000000000001E-2</v>
      </c>
      <c r="J11" s="162">
        <v>2.5623931397367759E-2</v>
      </c>
    </row>
    <row r="12" spans="7:10" x14ac:dyDescent="0.2">
      <c r="G12" s="213"/>
      <c r="H12" s="159" t="s">
        <v>70</v>
      </c>
      <c r="I12" s="168">
        <v>1.2500000000000001E-2</v>
      </c>
      <c r="J12" s="162">
        <v>7.5043184460112766E-2</v>
      </c>
    </row>
    <row r="13" spans="7:10" x14ac:dyDescent="0.2">
      <c r="G13" s="213"/>
      <c r="H13" s="159" t="s">
        <v>71</v>
      </c>
      <c r="I13" s="168">
        <v>1.2500000000000001E-2</v>
      </c>
      <c r="J13" s="162">
        <v>4.0737244771225597E-4</v>
      </c>
    </row>
    <row r="14" spans="7:10" x14ac:dyDescent="0.2">
      <c r="G14" s="160"/>
      <c r="H14" s="160"/>
      <c r="I14" s="160"/>
      <c r="J14" s="161"/>
    </row>
    <row r="15" spans="7:10" x14ac:dyDescent="0.2">
      <c r="G15" s="213" t="s">
        <v>63</v>
      </c>
      <c r="H15" s="159" t="s">
        <v>60</v>
      </c>
      <c r="I15" s="168">
        <v>2.0000000000000001E-4</v>
      </c>
      <c r="J15" s="163">
        <v>2.7353105616905534E-4</v>
      </c>
    </row>
    <row r="16" spans="7:10" x14ac:dyDescent="0.2">
      <c r="G16" s="213"/>
      <c r="H16" s="159" t="s">
        <v>69</v>
      </c>
      <c r="I16" s="168">
        <v>2.0000000000000001E-4</v>
      </c>
      <c r="J16" s="163">
        <v>7.3559623056634286E-5</v>
      </c>
    </row>
    <row r="17" spans="7:10" x14ac:dyDescent="0.2">
      <c r="G17" s="213"/>
      <c r="H17" s="159" t="s">
        <v>70</v>
      </c>
      <c r="I17" s="168">
        <v>2.0000000000000001E-4</v>
      </c>
      <c r="J17" s="163">
        <v>1.8414505632991841E-3</v>
      </c>
    </row>
    <row r="18" spans="7:10" x14ac:dyDescent="0.2">
      <c r="G18" s="213"/>
      <c r="H18" s="159" t="s">
        <v>71</v>
      </c>
      <c r="I18" s="168">
        <v>2.0000000000000001E-4</v>
      </c>
      <c r="J18" s="163">
        <v>5.6634706145362412E-5</v>
      </c>
    </row>
  </sheetData>
  <mergeCells count="4">
    <mergeCell ref="G5:G8"/>
    <mergeCell ref="G10:G13"/>
    <mergeCell ref="G15:G18"/>
    <mergeCell ref="G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8"/>
  <sheetViews>
    <sheetView showGridLines="0" zoomScale="55" zoomScaleNormal="55" workbookViewId="0">
      <selection activeCell="H24" sqref="H24"/>
    </sheetView>
  </sheetViews>
  <sheetFormatPr defaultColWidth="8.7109375" defaultRowHeight="15" x14ac:dyDescent="0.25"/>
  <cols>
    <col min="1" max="1" width="8.7109375" style="153"/>
    <col min="2" max="2" width="22.5703125" style="153" customWidth="1"/>
    <col min="3" max="4" width="15" style="153" customWidth="1"/>
    <col min="5" max="5" width="47.7109375" style="153" customWidth="1"/>
    <col min="6" max="6" width="54.140625" style="153" customWidth="1"/>
    <col min="7" max="7" width="15" style="153" customWidth="1"/>
    <col min="8" max="8" width="20" style="153" customWidth="1"/>
    <col min="9" max="16384" width="8.7109375" style="153"/>
  </cols>
  <sheetData>
    <row r="1" spans="2:8" ht="26.25" x14ac:dyDescent="0.4">
      <c r="B1" s="152" t="s">
        <v>672</v>
      </c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63" x14ac:dyDescent="0.25">
      <c r="B5" s="144" t="s">
        <v>586</v>
      </c>
      <c r="C5" s="144">
        <v>540</v>
      </c>
      <c r="D5" s="184">
        <v>440.21871139034204</v>
      </c>
      <c r="E5" s="146"/>
      <c r="F5" s="146"/>
      <c r="G5" s="156"/>
      <c r="H5" s="144"/>
    </row>
    <row r="6" spans="2:8" ht="63" x14ac:dyDescent="0.25">
      <c r="B6" s="144" t="s">
        <v>589</v>
      </c>
      <c r="C6" s="144">
        <v>550</v>
      </c>
      <c r="D6" s="184">
        <v>473.65622104850956</v>
      </c>
      <c r="E6" s="146"/>
      <c r="F6" s="146"/>
      <c r="G6" s="156"/>
      <c r="H6" s="144"/>
    </row>
    <row r="7" spans="2:8" ht="119.25" customHeight="1" x14ac:dyDescent="0.25">
      <c r="B7" s="144" t="s">
        <v>591</v>
      </c>
      <c r="C7" s="144">
        <v>355</v>
      </c>
      <c r="D7" s="184">
        <v>195.34378083023449</v>
      </c>
      <c r="E7" s="146"/>
      <c r="F7" s="146"/>
      <c r="G7" s="156"/>
      <c r="H7" s="144"/>
    </row>
    <row r="8" spans="2:8" ht="63" x14ac:dyDescent="0.25">
      <c r="B8" s="144" t="s">
        <v>592</v>
      </c>
      <c r="C8" s="144">
        <v>535</v>
      </c>
      <c r="D8" s="184">
        <v>431.52985864776571</v>
      </c>
      <c r="E8" s="146"/>
      <c r="F8" s="146"/>
      <c r="G8" s="156"/>
      <c r="H8" s="144"/>
    </row>
  </sheetData>
  <mergeCells count="7">
    <mergeCell ref="G3:G4"/>
    <mergeCell ref="H3:H4"/>
    <mergeCell ref="B3:B4"/>
    <mergeCell ref="C3:C4"/>
    <mergeCell ref="D3:D4"/>
    <mergeCell ref="E3:E4"/>
    <mergeCell ref="F3:F4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8"/>
  <sheetViews>
    <sheetView showGridLines="0" zoomScale="55" zoomScaleNormal="55" workbookViewId="0">
      <selection activeCell="H24" sqref="H24"/>
    </sheetView>
  </sheetViews>
  <sheetFormatPr defaultColWidth="8.7109375" defaultRowHeight="15" x14ac:dyDescent="0.25"/>
  <cols>
    <col min="1" max="1" width="8.7109375" style="153"/>
    <col min="2" max="2" width="22.5703125" style="153" customWidth="1"/>
    <col min="3" max="4" width="15" style="153" customWidth="1"/>
    <col min="5" max="5" width="47.7109375" style="153" customWidth="1"/>
    <col min="6" max="6" width="54.140625" style="153" customWidth="1"/>
    <col min="7" max="7" width="15" style="153" customWidth="1"/>
    <col min="8" max="8" width="20" style="153" customWidth="1"/>
    <col min="9" max="16384" width="8.7109375" style="153"/>
  </cols>
  <sheetData>
    <row r="1" spans="2:8" ht="26.25" x14ac:dyDescent="0.4">
      <c r="B1" s="152" t="s">
        <v>673</v>
      </c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63" x14ac:dyDescent="0.25">
      <c r="B5" s="183" t="s">
        <v>586</v>
      </c>
      <c r="C5" s="183">
        <v>540</v>
      </c>
      <c r="D5" s="184">
        <v>449.13812244455875</v>
      </c>
      <c r="E5" s="146"/>
      <c r="F5" s="146"/>
      <c r="G5" s="156"/>
      <c r="H5" s="183"/>
    </row>
    <row r="6" spans="2:8" ht="63" x14ac:dyDescent="0.25">
      <c r="B6" s="183" t="s">
        <v>589</v>
      </c>
      <c r="C6" s="183">
        <v>550</v>
      </c>
      <c r="D6" s="184">
        <v>455.17729968946986</v>
      </c>
      <c r="E6" s="146"/>
      <c r="F6" s="146"/>
      <c r="G6" s="156"/>
      <c r="H6" s="183"/>
    </row>
    <row r="7" spans="2:8" ht="119.25" customHeight="1" x14ac:dyDescent="0.25">
      <c r="B7" s="183" t="s">
        <v>591</v>
      </c>
      <c r="C7" s="183">
        <v>355</v>
      </c>
      <c r="D7" s="184">
        <v>214.69456749825133</v>
      </c>
      <c r="E7" s="146"/>
      <c r="F7" s="146"/>
      <c r="G7" s="156"/>
      <c r="H7" s="183"/>
    </row>
    <row r="8" spans="2:8" ht="63" x14ac:dyDescent="0.25">
      <c r="B8" s="183" t="s">
        <v>592</v>
      </c>
      <c r="C8" s="183">
        <v>535</v>
      </c>
      <c r="D8" s="184">
        <v>445.0710631040364</v>
      </c>
      <c r="E8" s="146"/>
      <c r="F8" s="146"/>
      <c r="G8" s="156"/>
      <c r="H8" s="183"/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8"/>
  <sheetViews>
    <sheetView showGridLines="0" zoomScale="55" zoomScaleNormal="55" workbookViewId="0">
      <selection activeCell="H24" sqref="H24"/>
    </sheetView>
  </sheetViews>
  <sheetFormatPr defaultColWidth="8.7109375" defaultRowHeight="15" x14ac:dyDescent="0.25"/>
  <cols>
    <col min="1" max="1" width="8.7109375" style="153"/>
    <col min="2" max="2" width="22.5703125" style="153" customWidth="1"/>
    <col min="3" max="4" width="15" style="153" customWidth="1"/>
    <col min="5" max="5" width="47.7109375" style="153" customWidth="1"/>
    <col min="6" max="6" width="54.140625" style="153" customWidth="1"/>
    <col min="7" max="7" width="15" style="153" customWidth="1"/>
    <col min="8" max="8" width="20" style="153" customWidth="1"/>
    <col min="9" max="16384" width="8.7109375" style="153"/>
  </cols>
  <sheetData>
    <row r="1" spans="2:8" ht="26.25" x14ac:dyDescent="0.4">
      <c r="B1" s="152" t="s">
        <v>674</v>
      </c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63" x14ac:dyDescent="0.25">
      <c r="B5" s="183" t="s">
        <v>586</v>
      </c>
      <c r="C5" s="183">
        <v>540</v>
      </c>
      <c r="D5" s="184">
        <v>454.16947904522306</v>
      </c>
      <c r="E5" s="146"/>
      <c r="F5" s="146"/>
      <c r="G5" s="156"/>
      <c r="H5" s="183"/>
    </row>
    <row r="6" spans="2:8" ht="63" x14ac:dyDescent="0.25">
      <c r="B6" s="183" t="s">
        <v>589</v>
      </c>
      <c r="C6" s="183">
        <v>550</v>
      </c>
      <c r="D6" s="184">
        <v>443.79730471370203</v>
      </c>
      <c r="E6" s="146"/>
      <c r="F6" s="146"/>
      <c r="G6" s="156"/>
      <c r="H6" s="183"/>
    </row>
    <row r="7" spans="2:8" ht="119.25" customHeight="1" x14ac:dyDescent="0.25">
      <c r="B7" s="183" t="s">
        <v>591</v>
      </c>
      <c r="C7" s="183">
        <v>355</v>
      </c>
      <c r="D7" s="184">
        <v>205.20642458726283</v>
      </c>
      <c r="E7" s="146"/>
      <c r="F7" s="146"/>
      <c r="G7" s="156"/>
      <c r="H7" s="183"/>
    </row>
    <row r="8" spans="2:8" ht="63" x14ac:dyDescent="0.25">
      <c r="B8" s="183" t="s">
        <v>592</v>
      </c>
      <c r="C8" s="183">
        <v>535</v>
      </c>
      <c r="D8" s="184">
        <v>448.28354303180021</v>
      </c>
      <c r="E8" s="146"/>
      <c r="F8" s="146"/>
      <c r="G8" s="156"/>
      <c r="H8" s="183"/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8"/>
  <sheetViews>
    <sheetView showGridLines="0" zoomScale="85" zoomScaleNormal="85" workbookViewId="0">
      <selection activeCell="H24" sqref="H24"/>
    </sheetView>
  </sheetViews>
  <sheetFormatPr defaultColWidth="8.7109375" defaultRowHeight="15" x14ac:dyDescent="0.25"/>
  <cols>
    <col min="1" max="1" width="8.7109375" style="153"/>
    <col min="2" max="2" width="22.5703125" style="153" customWidth="1"/>
    <col min="3" max="4" width="15" style="153" customWidth="1"/>
    <col min="5" max="5" width="47.7109375" style="153" customWidth="1"/>
    <col min="6" max="6" width="54.140625" style="153" customWidth="1"/>
    <col min="7" max="7" width="15" style="153" customWidth="1"/>
    <col min="8" max="8" width="20" style="153" customWidth="1"/>
    <col min="9" max="16384" width="8.7109375" style="153"/>
  </cols>
  <sheetData>
    <row r="1" spans="2:8" ht="26.25" x14ac:dyDescent="0.4">
      <c r="B1" s="152" t="s">
        <v>675</v>
      </c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63" x14ac:dyDescent="0.25">
      <c r="B5" s="183" t="s">
        <v>586</v>
      </c>
      <c r="C5" s="183">
        <v>540</v>
      </c>
      <c r="D5" s="184">
        <v>458.80246466110913</v>
      </c>
      <c r="E5" s="146"/>
      <c r="F5" s="146"/>
      <c r="G5" s="156"/>
      <c r="H5" s="183"/>
    </row>
    <row r="6" spans="2:8" ht="63" x14ac:dyDescent="0.25">
      <c r="B6" s="183" t="s">
        <v>589</v>
      </c>
      <c r="C6" s="183">
        <v>550</v>
      </c>
      <c r="D6" s="184">
        <v>414.33667433905862</v>
      </c>
      <c r="E6" s="146"/>
      <c r="F6" s="146"/>
      <c r="G6" s="156"/>
      <c r="H6" s="183"/>
    </row>
    <row r="7" spans="2:8" ht="119.25" customHeight="1" x14ac:dyDescent="0.25">
      <c r="B7" s="183" t="s">
        <v>591</v>
      </c>
      <c r="C7" s="183">
        <v>355</v>
      </c>
      <c r="D7" s="184">
        <v>214.00496677629371</v>
      </c>
      <c r="E7" s="146"/>
      <c r="F7" s="146"/>
      <c r="G7" s="156"/>
      <c r="H7" s="183"/>
    </row>
    <row r="8" spans="2:8" ht="63" x14ac:dyDescent="0.25">
      <c r="B8" s="183" t="s">
        <v>592</v>
      </c>
      <c r="C8" s="183">
        <v>535</v>
      </c>
      <c r="D8" s="184">
        <v>429.66083247536403</v>
      </c>
      <c r="E8" s="146"/>
      <c r="F8" s="146"/>
      <c r="G8" s="156"/>
      <c r="H8" s="183"/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14"/>
  <sheetViews>
    <sheetView showGridLines="0" zoomScale="55" zoomScaleNormal="55" workbookViewId="0">
      <selection activeCell="S10" sqref="S10"/>
    </sheetView>
  </sheetViews>
  <sheetFormatPr defaultColWidth="8.7109375" defaultRowHeight="15" x14ac:dyDescent="0.25"/>
  <cols>
    <col min="1" max="1" width="8.7109375" style="153"/>
    <col min="2" max="2" width="29.5703125" style="153" customWidth="1"/>
    <col min="3" max="4" width="15.28515625" style="153" customWidth="1"/>
    <col min="5" max="5" width="34.140625" style="153" customWidth="1"/>
    <col min="6" max="6" width="49.7109375" style="153" customWidth="1"/>
    <col min="7" max="7" width="17" style="153" customWidth="1"/>
    <col min="8" max="8" width="19.28515625" style="153" customWidth="1"/>
    <col min="9" max="16384" width="8.7109375" style="153"/>
  </cols>
  <sheetData>
    <row r="1" spans="2:8" ht="26.25" x14ac:dyDescent="0.4">
      <c r="B1" s="152" t="s">
        <v>663</v>
      </c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105" x14ac:dyDescent="0.25">
      <c r="B5" s="144" t="s">
        <v>594</v>
      </c>
      <c r="C5" s="145">
        <v>1.2500000000000001E-2</v>
      </c>
      <c r="D5" s="145">
        <v>4.36E-2</v>
      </c>
      <c r="E5" s="146" t="s">
        <v>595</v>
      </c>
      <c r="F5" s="146" t="s">
        <v>596</v>
      </c>
      <c r="G5" s="144" t="s">
        <v>587</v>
      </c>
      <c r="H5" s="144" t="s">
        <v>588</v>
      </c>
    </row>
    <row r="6" spans="2:8" ht="126" x14ac:dyDescent="0.25">
      <c r="B6" s="144" t="s">
        <v>597</v>
      </c>
      <c r="C6" s="145">
        <v>1.2500000000000001E-2</v>
      </c>
      <c r="D6" s="145">
        <v>2.3199999999999998E-2</v>
      </c>
      <c r="E6" s="146" t="s">
        <v>598</v>
      </c>
      <c r="F6" s="146" t="s">
        <v>599</v>
      </c>
      <c r="G6" s="144" t="s">
        <v>587</v>
      </c>
      <c r="H6" s="144" t="s">
        <v>588</v>
      </c>
    </row>
    <row r="7" spans="2:8" ht="107.45" customHeight="1" x14ac:dyDescent="0.25">
      <c r="B7" s="144" t="s">
        <v>600</v>
      </c>
      <c r="C7" s="145">
        <v>1.2500000000000001E-2</v>
      </c>
      <c r="D7" s="145">
        <v>8.9800000000000005E-2</v>
      </c>
      <c r="E7" s="146" t="s">
        <v>601</v>
      </c>
      <c r="F7" s="146" t="s">
        <v>602</v>
      </c>
      <c r="G7" s="144" t="s">
        <v>590</v>
      </c>
      <c r="H7" s="144" t="s">
        <v>603</v>
      </c>
    </row>
    <row r="8" spans="2:8" ht="126" x14ac:dyDescent="0.25">
      <c r="B8" s="221" t="s">
        <v>571</v>
      </c>
      <c r="C8" s="219">
        <v>1.2500000000000001E-2</v>
      </c>
      <c r="D8" s="220">
        <v>1.6E-2</v>
      </c>
      <c r="E8" s="147" t="s">
        <v>572</v>
      </c>
      <c r="F8" s="147" t="s">
        <v>573</v>
      </c>
      <c r="G8" s="148" t="s">
        <v>570</v>
      </c>
      <c r="H8" s="149">
        <v>45491</v>
      </c>
    </row>
    <row r="9" spans="2:8" ht="63" x14ac:dyDescent="0.25">
      <c r="B9" s="221"/>
      <c r="C9" s="219"/>
      <c r="D9" s="220"/>
      <c r="E9" s="150" t="s">
        <v>574</v>
      </c>
      <c r="F9" s="150" t="s">
        <v>575</v>
      </c>
      <c r="G9" s="148"/>
      <c r="H9" s="149"/>
    </row>
    <row r="10" spans="2:8" ht="126" x14ac:dyDescent="0.25">
      <c r="B10" s="221" t="s">
        <v>576</v>
      </c>
      <c r="C10" s="219">
        <v>1.2500000000000001E-2</v>
      </c>
      <c r="D10" s="220">
        <v>1.2999999999999999E-3</v>
      </c>
      <c r="E10" s="147" t="s">
        <v>572</v>
      </c>
      <c r="F10" s="147" t="s">
        <v>573</v>
      </c>
      <c r="G10" s="148" t="s">
        <v>570</v>
      </c>
      <c r="H10" s="149">
        <v>45491</v>
      </c>
    </row>
    <row r="11" spans="2:8" ht="21" x14ac:dyDescent="0.25">
      <c r="B11" s="221"/>
      <c r="C11" s="219"/>
      <c r="D11" s="220"/>
      <c r="E11" s="147"/>
      <c r="F11" s="147"/>
      <c r="G11" s="221" t="s">
        <v>570</v>
      </c>
      <c r="H11" s="222">
        <v>45498</v>
      </c>
    </row>
    <row r="12" spans="2:8" ht="63" x14ac:dyDescent="0.25">
      <c r="B12" s="221"/>
      <c r="C12" s="219"/>
      <c r="D12" s="220"/>
      <c r="E12" s="150" t="s">
        <v>574</v>
      </c>
      <c r="F12" s="150" t="s">
        <v>577</v>
      </c>
      <c r="G12" s="221"/>
      <c r="H12" s="222"/>
    </row>
    <row r="13" spans="2:8" ht="126" x14ac:dyDescent="0.25">
      <c r="B13" s="218" t="s">
        <v>578</v>
      </c>
      <c r="C13" s="219">
        <v>1.2500000000000001E-2</v>
      </c>
      <c r="D13" s="220">
        <v>3.2599999999999997E-2</v>
      </c>
      <c r="E13" s="147" t="s">
        <v>572</v>
      </c>
      <c r="F13" s="147" t="s">
        <v>573</v>
      </c>
      <c r="G13" s="148" t="s">
        <v>570</v>
      </c>
      <c r="H13" s="149">
        <v>45498</v>
      </c>
    </row>
    <row r="14" spans="2:8" ht="63" x14ac:dyDescent="0.25">
      <c r="B14" s="218"/>
      <c r="C14" s="219"/>
      <c r="D14" s="220"/>
      <c r="E14" s="147" t="s">
        <v>574</v>
      </c>
      <c r="F14" s="147" t="s">
        <v>577</v>
      </c>
      <c r="G14" s="148" t="s">
        <v>570</v>
      </c>
      <c r="H14" s="151">
        <v>45491</v>
      </c>
    </row>
  </sheetData>
  <mergeCells count="18">
    <mergeCell ref="G11:G12"/>
    <mergeCell ref="H11:H12"/>
    <mergeCell ref="G3:G4"/>
    <mergeCell ref="H3:H4"/>
    <mergeCell ref="B8:B9"/>
    <mergeCell ref="C8:C9"/>
    <mergeCell ref="D8:D9"/>
    <mergeCell ref="B3:B4"/>
    <mergeCell ref="C3:C4"/>
    <mergeCell ref="D3:D4"/>
    <mergeCell ref="E3:E4"/>
    <mergeCell ref="F3:F4"/>
    <mergeCell ref="B13:B14"/>
    <mergeCell ref="C13:C14"/>
    <mergeCell ref="D13:D14"/>
    <mergeCell ref="B10:B12"/>
    <mergeCell ref="C10:C12"/>
    <mergeCell ref="D10:D1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11"/>
  <sheetViews>
    <sheetView showGridLines="0" zoomScale="55" zoomScaleNormal="55" workbookViewId="0">
      <selection activeCell="S10" sqref="S10"/>
    </sheetView>
  </sheetViews>
  <sheetFormatPr defaultColWidth="8.7109375" defaultRowHeight="15" x14ac:dyDescent="0.25"/>
  <cols>
    <col min="1" max="1" width="3.5703125" style="153" customWidth="1"/>
    <col min="2" max="2" width="37.28515625" style="153" customWidth="1"/>
    <col min="3" max="3" width="12.42578125" style="153" customWidth="1"/>
    <col min="4" max="4" width="13" style="153" customWidth="1"/>
    <col min="5" max="5" width="36.28515625" style="153" customWidth="1"/>
    <col min="6" max="6" width="35.28515625" style="153" bestFit="1" customWidth="1"/>
    <col min="7" max="7" width="11.7109375" style="153" customWidth="1"/>
    <col min="8" max="8" width="18.42578125" style="153" customWidth="1"/>
    <col min="9" max="16384" width="8.7109375" style="153"/>
  </cols>
  <sheetData>
    <row r="1" spans="2:8" ht="26.25" x14ac:dyDescent="0.4">
      <c r="B1" s="152" t="s">
        <v>593</v>
      </c>
    </row>
    <row r="2" spans="2:8" ht="26.25" x14ac:dyDescent="0.4">
      <c r="B2" s="152"/>
    </row>
    <row r="3" spans="2:8" x14ac:dyDescent="0.25">
      <c r="B3" s="217" t="s">
        <v>526</v>
      </c>
      <c r="C3" s="217" t="s">
        <v>34</v>
      </c>
      <c r="D3" s="217" t="s">
        <v>527</v>
      </c>
      <c r="E3" s="217" t="s">
        <v>526</v>
      </c>
      <c r="F3" s="217" t="s">
        <v>528</v>
      </c>
      <c r="G3" s="217" t="s">
        <v>529</v>
      </c>
      <c r="H3" s="217" t="s">
        <v>34</v>
      </c>
    </row>
    <row r="4" spans="2:8" x14ac:dyDescent="0.25">
      <c r="B4" s="217"/>
      <c r="C4" s="217"/>
      <c r="D4" s="217"/>
      <c r="E4" s="217"/>
      <c r="F4" s="217"/>
      <c r="G4" s="217"/>
      <c r="H4" s="217"/>
    </row>
    <row r="5" spans="2:8" ht="105" x14ac:dyDescent="0.25">
      <c r="B5" s="144" t="s">
        <v>604</v>
      </c>
      <c r="C5" s="145">
        <v>2.0000000000000001E-4</v>
      </c>
      <c r="D5" s="145">
        <v>2.2000000000000001E-3</v>
      </c>
      <c r="E5" s="146" t="s">
        <v>605</v>
      </c>
      <c r="F5" s="146" t="s">
        <v>606</v>
      </c>
      <c r="G5" s="144" t="s">
        <v>587</v>
      </c>
      <c r="H5" s="144" t="s">
        <v>588</v>
      </c>
    </row>
    <row r="6" spans="2:8" ht="84" x14ac:dyDescent="0.25">
      <c r="B6" s="221" t="s">
        <v>579</v>
      </c>
      <c r="C6" s="223">
        <v>5.0000000000000001E-4</v>
      </c>
      <c r="D6" s="223">
        <v>5.0000000000000001E-4</v>
      </c>
      <c r="E6" s="224" t="s">
        <v>580</v>
      </c>
      <c r="F6" s="147" t="s">
        <v>581</v>
      </c>
      <c r="G6" s="148" t="s">
        <v>570</v>
      </c>
      <c r="H6" s="149">
        <v>45491</v>
      </c>
    </row>
    <row r="7" spans="2:8" ht="42" x14ac:dyDescent="0.25">
      <c r="B7" s="221"/>
      <c r="C7" s="223"/>
      <c r="D7" s="223"/>
      <c r="E7" s="224"/>
      <c r="F7" s="154" t="s">
        <v>582</v>
      </c>
      <c r="G7" s="148" t="s">
        <v>583</v>
      </c>
      <c r="H7" s="155">
        <v>45498</v>
      </c>
    </row>
    <row r="8" spans="2:8" ht="84" x14ac:dyDescent="0.25">
      <c r="B8" s="221" t="s">
        <v>584</v>
      </c>
      <c r="C8" s="223">
        <v>5.0000000000000001E-4</v>
      </c>
      <c r="D8" s="223">
        <v>0</v>
      </c>
      <c r="E8" s="224" t="s">
        <v>580</v>
      </c>
      <c r="F8" s="147" t="s">
        <v>581</v>
      </c>
      <c r="G8" s="148" t="s">
        <v>570</v>
      </c>
      <c r="H8" s="149">
        <v>45491</v>
      </c>
    </row>
    <row r="9" spans="2:8" ht="42" x14ac:dyDescent="0.25">
      <c r="B9" s="221"/>
      <c r="C9" s="223"/>
      <c r="D9" s="223"/>
      <c r="E9" s="224"/>
      <c r="F9" s="154" t="s">
        <v>582</v>
      </c>
      <c r="G9" s="148" t="s">
        <v>583</v>
      </c>
      <c r="H9" s="155">
        <v>45498</v>
      </c>
    </row>
    <row r="10" spans="2:8" ht="84" x14ac:dyDescent="0.25">
      <c r="B10" s="225" t="s">
        <v>585</v>
      </c>
      <c r="C10" s="223">
        <v>5.0000000000000001E-4</v>
      </c>
      <c r="D10" s="223">
        <v>3.3999999999999998E-3</v>
      </c>
      <c r="E10" s="224" t="s">
        <v>580</v>
      </c>
      <c r="F10" s="147" t="s">
        <v>581</v>
      </c>
      <c r="G10" s="148" t="s">
        <v>570</v>
      </c>
      <c r="H10" s="149">
        <v>45491</v>
      </c>
    </row>
    <row r="11" spans="2:8" ht="42" x14ac:dyDescent="0.25">
      <c r="B11" s="225"/>
      <c r="C11" s="223"/>
      <c r="D11" s="223"/>
      <c r="E11" s="224"/>
      <c r="F11" s="154" t="s">
        <v>582</v>
      </c>
      <c r="G11" s="148" t="s">
        <v>583</v>
      </c>
      <c r="H11" s="155">
        <v>45498</v>
      </c>
    </row>
  </sheetData>
  <mergeCells count="19">
    <mergeCell ref="G3:G4"/>
    <mergeCell ref="H3:H4"/>
    <mergeCell ref="B6:B7"/>
    <mergeCell ref="C6:C7"/>
    <mergeCell ref="D6:D7"/>
    <mergeCell ref="E6:E7"/>
    <mergeCell ref="B3:B4"/>
    <mergeCell ref="C3:C4"/>
    <mergeCell ref="D3:D4"/>
    <mergeCell ref="E3:E4"/>
    <mergeCell ref="F3:F4"/>
    <mergeCell ref="B8:B9"/>
    <mergeCell ref="C8:C9"/>
    <mergeCell ref="D8:D9"/>
    <mergeCell ref="E8:E9"/>
    <mergeCell ref="B10:B11"/>
    <mergeCell ref="C10:C11"/>
    <mergeCell ref="D10:D11"/>
    <mergeCell ref="E10:E1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A79"/>
  <sheetViews>
    <sheetView zoomScale="70" zoomScaleNormal="70" workbookViewId="0">
      <pane xSplit="4" ySplit="3" topLeftCell="AA4" activePane="bottomRight" state="frozen"/>
      <selection activeCell="AY11" sqref="AY11"/>
      <selection pane="topRight" activeCell="AY11" sqref="AY11"/>
      <selection pane="bottomLeft" activeCell="AY11" sqref="AY11"/>
      <selection pane="bottomRight" activeCell="AY11" sqref="AY11"/>
    </sheetView>
  </sheetViews>
  <sheetFormatPr defaultColWidth="8.85546875" defaultRowHeight="15" x14ac:dyDescent="0.25"/>
  <cols>
    <col min="1" max="1" width="8.85546875" style="110"/>
    <col min="2" max="2" width="20.28515625" style="110" customWidth="1"/>
    <col min="3" max="3" width="43.42578125" style="110" bestFit="1" customWidth="1"/>
    <col min="4" max="4" width="11" style="111" customWidth="1"/>
    <col min="5" max="5" width="2.7109375" style="134" customWidth="1"/>
    <col min="6" max="6" width="9.140625" style="112" customWidth="1"/>
    <col min="7" max="7" width="7.7109375" style="112" customWidth="1"/>
    <col min="8" max="8" width="7.5703125" style="112" customWidth="1"/>
    <col min="9" max="9" width="2.7109375" style="134" customWidth="1"/>
    <col min="10" max="10" width="9.7109375" style="112" customWidth="1"/>
    <col min="11" max="11" width="7.7109375" style="112" customWidth="1"/>
    <col min="12" max="12" width="7.5703125" style="112" customWidth="1"/>
    <col min="13" max="13" width="2.7109375" style="134" customWidth="1"/>
    <col min="14" max="14" width="9.7109375" style="112" customWidth="1"/>
    <col min="15" max="15" width="7.7109375" style="112" customWidth="1"/>
    <col min="16" max="16" width="7.5703125" style="112" customWidth="1"/>
    <col min="17" max="17" width="2.7109375" style="134" customWidth="1"/>
    <col min="18" max="18" width="9.7109375" style="112" customWidth="1"/>
    <col min="19" max="19" width="7.7109375" style="112" customWidth="1"/>
    <col min="20" max="20" width="7.5703125" style="112" customWidth="1"/>
    <col min="21" max="21" width="2.7109375" style="134" customWidth="1"/>
    <col min="22" max="22" width="9.7109375" style="110" customWidth="1"/>
    <col min="23" max="24" width="8.85546875" style="110" customWidth="1"/>
    <col min="25" max="25" width="2.7109375" style="135" customWidth="1"/>
    <col min="26" max="26" width="9.7109375" style="110" bestFit="1" customWidth="1"/>
    <col min="27" max="28" width="8.85546875" style="110"/>
    <col min="29" max="29" width="2.7109375" style="135" customWidth="1"/>
    <col min="30" max="30" width="9.7109375" style="110" bestFit="1" customWidth="1"/>
    <col min="31" max="32" width="8.85546875" style="110"/>
    <col min="33" max="33" width="2.7109375" style="135" customWidth="1"/>
    <col min="34" max="34" width="9.7109375" style="110" bestFit="1" customWidth="1"/>
    <col min="35" max="36" width="8.85546875" style="110"/>
    <col min="37" max="37" width="2.7109375" style="110" customWidth="1"/>
    <col min="38" max="38" width="9.7109375" style="110" bestFit="1" customWidth="1"/>
    <col min="39" max="40" width="8.85546875" style="110"/>
    <col min="41" max="41" width="2.7109375" style="135" customWidth="1"/>
    <col min="42" max="42" width="9.7109375" style="110" bestFit="1" customWidth="1"/>
    <col min="43" max="44" width="8.85546875" style="110"/>
    <col min="45" max="45" width="2.7109375" style="135" customWidth="1"/>
    <col min="46" max="46" width="9.7109375" style="110" bestFit="1" customWidth="1"/>
    <col min="47" max="48" width="8.85546875" style="110"/>
    <col min="49" max="49" width="2.7109375" style="135" customWidth="1"/>
    <col min="50" max="50" width="9.7109375" style="110" bestFit="1" customWidth="1"/>
    <col min="51" max="52" width="8.85546875" style="110"/>
    <col min="53" max="262" width="8.85546875" style="135"/>
    <col min="263" max="263" width="20.28515625" style="135" customWidth="1"/>
    <col min="264" max="264" width="43.42578125" style="135" bestFit="1" customWidth="1"/>
    <col min="265" max="265" width="8.7109375" style="135" customWidth="1"/>
    <col min="266" max="266" width="2.7109375" style="135" customWidth="1"/>
    <col min="267" max="267" width="9.140625" style="135" bestFit="1" customWidth="1"/>
    <col min="268" max="268" width="7.7109375" style="135" bestFit="1" customWidth="1"/>
    <col min="269" max="269" width="7.5703125" style="135" bestFit="1" customWidth="1"/>
    <col min="270" max="270" width="2.7109375" style="135" customWidth="1"/>
    <col min="271" max="271" width="7.5703125" style="135" bestFit="1" customWidth="1"/>
    <col min="272" max="272" width="7.7109375" style="135" bestFit="1" customWidth="1"/>
    <col min="273" max="273" width="7.5703125" style="135" bestFit="1" customWidth="1"/>
    <col min="274" max="518" width="8.85546875" style="135"/>
    <col min="519" max="519" width="20.28515625" style="135" customWidth="1"/>
    <col min="520" max="520" width="43.42578125" style="135" bestFit="1" customWidth="1"/>
    <col min="521" max="521" width="8.7109375" style="135" customWidth="1"/>
    <col min="522" max="522" width="2.7109375" style="135" customWidth="1"/>
    <col min="523" max="523" width="9.140625" style="135" bestFit="1" customWidth="1"/>
    <col min="524" max="524" width="7.7109375" style="135" bestFit="1" customWidth="1"/>
    <col min="525" max="525" width="7.5703125" style="135" bestFit="1" customWidth="1"/>
    <col min="526" max="526" width="2.7109375" style="135" customWidth="1"/>
    <col min="527" max="527" width="7.5703125" style="135" bestFit="1" customWidth="1"/>
    <col min="528" max="528" width="7.7109375" style="135" bestFit="1" customWidth="1"/>
    <col min="529" max="529" width="7.5703125" style="135" bestFit="1" customWidth="1"/>
    <col min="530" max="774" width="8.85546875" style="135"/>
    <col min="775" max="775" width="20.28515625" style="135" customWidth="1"/>
    <col min="776" max="776" width="43.42578125" style="135" bestFit="1" customWidth="1"/>
    <col min="777" max="777" width="8.7109375" style="135" customWidth="1"/>
    <col min="778" max="778" width="2.7109375" style="135" customWidth="1"/>
    <col min="779" max="779" width="9.140625" style="135" bestFit="1" customWidth="1"/>
    <col min="780" max="780" width="7.7109375" style="135" bestFit="1" customWidth="1"/>
    <col min="781" max="781" width="7.5703125" style="135" bestFit="1" customWidth="1"/>
    <col min="782" max="782" width="2.7109375" style="135" customWidth="1"/>
    <col min="783" max="783" width="7.5703125" style="135" bestFit="1" customWidth="1"/>
    <col min="784" max="784" width="7.7109375" style="135" bestFit="1" customWidth="1"/>
    <col min="785" max="785" width="7.5703125" style="135" bestFit="1" customWidth="1"/>
    <col min="786" max="1030" width="8.85546875" style="135"/>
    <col min="1031" max="1031" width="20.28515625" style="135" customWidth="1"/>
    <col min="1032" max="1032" width="43.42578125" style="135" bestFit="1" customWidth="1"/>
    <col min="1033" max="1033" width="8.7109375" style="135" customWidth="1"/>
    <col min="1034" max="1034" width="2.7109375" style="135" customWidth="1"/>
    <col min="1035" max="1035" width="9.140625" style="135" bestFit="1" customWidth="1"/>
    <col min="1036" max="1036" width="7.7109375" style="135" bestFit="1" customWidth="1"/>
    <col min="1037" max="1037" width="7.5703125" style="135" bestFit="1" customWidth="1"/>
    <col min="1038" max="1038" width="2.7109375" style="135" customWidth="1"/>
    <col min="1039" max="1039" width="7.5703125" style="135" bestFit="1" customWidth="1"/>
    <col min="1040" max="1040" width="7.7109375" style="135" bestFit="1" customWidth="1"/>
    <col min="1041" max="1041" width="7.5703125" style="135" bestFit="1" customWidth="1"/>
    <col min="1042" max="1286" width="8.85546875" style="135"/>
    <col min="1287" max="1287" width="20.28515625" style="135" customWidth="1"/>
    <col min="1288" max="1288" width="43.42578125" style="135" bestFit="1" customWidth="1"/>
    <col min="1289" max="1289" width="8.7109375" style="135" customWidth="1"/>
    <col min="1290" max="1290" width="2.7109375" style="135" customWidth="1"/>
    <col min="1291" max="1291" width="9.140625" style="135" bestFit="1" customWidth="1"/>
    <col min="1292" max="1292" width="7.7109375" style="135" bestFit="1" customWidth="1"/>
    <col min="1293" max="1293" width="7.5703125" style="135" bestFit="1" customWidth="1"/>
    <col min="1294" max="1294" width="2.7109375" style="135" customWidth="1"/>
    <col min="1295" max="1295" width="7.5703125" style="135" bestFit="1" customWidth="1"/>
    <col min="1296" max="1296" width="7.7109375" style="135" bestFit="1" customWidth="1"/>
    <col min="1297" max="1297" width="7.5703125" style="135" bestFit="1" customWidth="1"/>
    <col min="1298" max="1542" width="8.85546875" style="135"/>
    <col min="1543" max="1543" width="20.28515625" style="135" customWidth="1"/>
    <col min="1544" max="1544" width="43.42578125" style="135" bestFit="1" customWidth="1"/>
    <col min="1545" max="1545" width="8.7109375" style="135" customWidth="1"/>
    <col min="1546" max="1546" width="2.7109375" style="135" customWidth="1"/>
    <col min="1547" max="1547" width="9.140625" style="135" bestFit="1" customWidth="1"/>
    <col min="1548" max="1548" width="7.7109375" style="135" bestFit="1" customWidth="1"/>
    <col min="1549" max="1549" width="7.5703125" style="135" bestFit="1" customWidth="1"/>
    <col min="1550" max="1550" width="2.7109375" style="135" customWidth="1"/>
    <col min="1551" max="1551" width="7.5703125" style="135" bestFit="1" customWidth="1"/>
    <col min="1552" max="1552" width="7.7109375" style="135" bestFit="1" customWidth="1"/>
    <col min="1553" max="1553" width="7.5703125" style="135" bestFit="1" customWidth="1"/>
    <col min="1554" max="1798" width="8.85546875" style="135"/>
    <col min="1799" max="1799" width="20.28515625" style="135" customWidth="1"/>
    <col min="1800" max="1800" width="43.42578125" style="135" bestFit="1" customWidth="1"/>
    <col min="1801" max="1801" width="8.7109375" style="135" customWidth="1"/>
    <col min="1802" max="1802" width="2.7109375" style="135" customWidth="1"/>
    <col min="1803" max="1803" width="9.140625" style="135" bestFit="1" customWidth="1"/>
    <col min="1804" max="1804" width="7.7109375" style="135" bestFit="1" customWidth="1"/>
    <col min="1805" max="1805" width="7.5703125" style="135" bestFit="1" customWidth="1"/>
    <col min="1806" max="1806" width="2.7109375" style="135" customWidth="1"/>
    <col min="1807" max="1807" width="7.5703125" style="135" bestFit="1" customWidth="1"/>
    <col min="1808" max="1808" width="7.7109375" style="135" bestFit="1" customWidth="1"/>
    <col min="1809" max="1809" width="7.5703125" style="135" bestFit="1" customWidth="1"/>
    <col min="1810" max="2054" width="8.85546875" style="135"/>
    <col min="2055" max="2055" width="20.28515625" style="135" customWidth="1"/>
    <col min="2056" max="2056" width="43.42578125" style="135" bestFit="1" customWidth="1"/>
    <col min="2057" max="2057" width="8.7109375" style="135" customWidth="1"/>
    <col min="2058" max="2058" width="2.7109375" style="135" customWidth="1"/>
    <col min="2059" max="2059" width="9.140625" style="135" bestFit="1" customWidth="1"/>
    <col min="2060" max="2060" width="7.7109375" style="135" bestFit="1" customWidth="1"/>
    <col min="2061" max="2061" width="7.5703125" style="135" bestFit="1" customWidth="1"/>
    <col min="2062" max="2062" width="2.7109375" style="135" customWidth="1"/>
    <col min="2063" max="2063" width="7.5703125" style="135" bestFit="1" customWidth="1"/>
    <col min="2064" max="2064" width="7.7109375" style="135" bestFit="1" customWidth="1"/>
    <col min="2065" max="2065" width="7.5703125" style="135" bestFit="1" customWidth="1"/>
    <col min="2066" max="2310" width="8.85546875" style="135"/>
    <col min="2311" max="2311" width="20.28515625" style="135" customWidth="1"/>
    <col min="2312" max="2312" width="43.42578125" style="135" bestFit="1" customWidth="1"/>
    <col min="2313" max="2313" width="8.7109375" style="135" customWidth="1"/>
    <col min="2314" max="2314" width="2.7109375" style="135" customWidth="1"/>
    <col min="2315" max="2315" width="9.140625" style="135" bestFit="1" customWidth="1"/>
    <col min="2316" max="2316" width="7.7109375" style="135" bestFit="1" customWidth="1"/>
    <col min="2317" max="2317" width="7.5703125" style="135" bestFit="1" customWidth="1"/>
    <col min="2318" max="2318" width="2.7109375" style="135" customWidth="1"/>
    <col min="2319" max="2319" width="7.5703125" style="135" bestFit="1" customWidth="1"/>
    <col min="2320" max="2320" width="7.7109375" style="135" bestFit="1" customWidth="1"/>
    <col min="2321" max="2321" width="7.5703125" style="135" bestFit="1" customWidth="1"/>
    <col min="2322" max="2566" width="8.85546875" style="135"/>
    <col min="2567" max="2567" width="20.28515625" style="135" customWidth="1"/>
    <col min="2568" max="2568" width="43.42578125" style="135" bestFit="1" customWidth="1"/>
    <col min="2569" max="2569" width="8.7109375" style="135" customWidth="1"/>
    <col min="2570" max="2570" width="2.7109375" style="135" customWidth="1"/>
    <col min="2571" max="2571" width="9.140625" style="135" bestFit="1" customWidth="1"/>
    <col min="2572" max="2572" width="7.7109375" style="135" bestFit="1" customWidth="1"/>
    <col min="2573" max="2573" width="7.5703125" style="135" bestFit="1" customWidth="1"/>
    <col min="2574" max="2574" width="2.7109375" style="135" customWidth="1"/>
    <col min="2575" max="2575" width="7.5703125" style="135" bestFit="1" customWidth="1"/>
    <col min="2576" max="2576" width="7.7109375" style="135" bestFit="1" customWidth="1"/>
    <col min="2577" max="2577" width="7.5703125" style="135" bestFit="1" customWidth="1"/>
    <col min="2578" max="2822" width="8.85546875" style="135"/>
    <col min="2823" max="2823" width="20.28515625" style="135" customWidth="1"/>
    <col min="2824" max="2824" width="43.42578125" style="135" bestFit="1" customWidth="1"/>
    <col min="2825" max="2825" width="8.7109375" style="135" customWidth="1"/>
    <col min="2826" max="2826" width="2.7109375" style="135" customWidth="1"/>
    <col min="2827" max="2827" width="9.140625" style="135" bestFit="1" customWidth="1"/>
    <col min="2828" max="2828" width="7.7109375" style="135" bestFit="1" customWidth="1"/>
    <col min="2829" max="2829" width="7.5703125" style="135" bestFit="1" customWidth="1"/>
    <col min="2830" max="2830" width="2.7109375" style="135" customWidth="1"/>
    <col min="2831" max="2831" width="7.5703125" style="135" bestFit="1" customWidth="1"/>
    <col min="2832" max="2832" width="7.7109375" style="135" bestFit="1" customWidth="1"/>
    <col min="2833" max="2833" width="7.5703125" style="135" bestFit="1" customWidth="1"/>
    <col min="2834" max="3078" width="8.85546875" style="135"/>
    <col min="3079" max="3079" width="20.28515625" style="135" customWidth="1"/>
    <col min="3080" max="3080" width="43.42578125" style="135" bestFit="1" customWidth="1"/>
    <col min="3081" max="3081" width="8.7109375" style="135" customWidth="1"/>
    <col min="3082" max="3082" width="2.7109375" style="135" customWidth="1"/>
    <col min="3083" max="3083" width="9.140625" style="135" bestFit="1" customWidth="1"/>
    <col min="3084" max="3084" width="7.7109375" style="135" bestFit="1" customWidth="1"/>
    <col min="3085" max="3085" width="7.5703125" style="135" bestFit="1" customWidth="1"/>
    <col min="3086" max="3086" width="2.7109375" style="135" customWidth="1"/>
    <col min="3087" max="3087" width="7.5703125" style="135" bestFit="1" customWidth="1"/>
    <col min="3088" max="3088" width="7.7109375" style="135" bestFit="1" customWidth="1"/>
    <col min="3089" max="3089" width="7.5703125" style="135" bestFit="1" customWidth="1"/>
    <col min="3090" max="3334" width="8.85546875" style="135"/>
    <col min="3335" max="3335" width="20.28515625" style="135" customWidth="1"/>
    <col min="3336" max="3336" width="43.42578125" style="135" bestFit="1" customWidth="1"/>
    <col min="3337" max="3337" width="8.7109375" style="135" customWidth="1"/>
    <col min="3338" max="3338" width="2.7109375" style="135" customWidth="1"/>
    <col min="3339" max="3339" width="9.140625" style="135" bestFit="1" customWidth="1"/>
    <col min="3340" max="3340" width="7.7109375" style="135" bestFit="1" customWidth="1"/>
    <col min="3341" max="3341" width="7.5703125" style="135" bestFit="1" customWidth="1"/>
    <col min="3342" max="3342" width="2.7109375" style="135" customWidth="1"/>
    <col min="3343" max="3343" width="7.5703125" style="135" bestFit="1" customWidth="1"/>
    <col min="3344" max="3344" width="7.7109375" style="135" bestFit="1" customWidth="1"/>
    <col min="3345" max="3345" width="7.5703125" style="135" bestFit="1" customWidth="1"/>
    <col min="3346" max="3590" width="8.85546875" style="135"/>
    <col min="3591" max="3591" width="20.28515625" style="135" customWidth="1"/>
    <col min="3592" max="3592" width="43.42578125" style="135" bestFit="1" customWidth="1"/>
    <col min="3593" max="3593" width="8.7109375" style="135" customWidth="1"/>
    <col min="3594" max="3594" width="2.7109375" style="135" customWidth="1"/>
    <col min="3595" max="3595" width="9.140625" style="135" bestFit="1" customWidth="1"/>
    <col min="3596" max="3596" width="7.7109375" style="135" bestFit="1" customWidth="1"/>
    <col min="3597" max="3597" width="7.5703125" style="135" bestFit="1" customWidth="1"/>
    <col min="3598" max="3598" width="2.7109375" style="135" customWidth="1"/>
    <col min="3599" max="3599" width="7.5703125" style="135" bestFit="1" customWidth="1"/>
    <col min="3600" max="3600" width="7.7109375" style="135" bestFit="1" customWidth="1"/>
    <col min="3601" max="3601" width="7.5703125" style="135" bestFit="1" customWidth="1"/>
    <col min="3602" max="3846" width="8.85546875" style="135"/>
    <col min="3847" max="3847" width="20.28515625" style="135" customWidth="1"/>
    <col min="3848" max="3848" width="43.42578125" style="135" bestFit="1" customWidth="1"/>
    <col min="3849" max="3849" width="8.7109375" style="135" customWidth="1"/>
    <col min="3850" max="3850" width="2.7109375" style="135" customWidth="1"/>
    <col min="3851" max="3851" width="9.140625" style="135" bestFit="1" customWidth="1"/>
    <col min="3852" max="3852" width="7.7109375" style="135" bestFit="1" customWidth="1"/>
    <col min="3853" max="3853" width="7.5703125" style="135" bestFit="1" customWidth="1"/>
    <col min="3854" max="3854" width="2.7109375" style="135" customWidth="1"/>
    <col min="3855" max="3855" width="7.5703125" style="135" bestFit="1" customWidth="1"/>
    <col min="3856" max="3856" width="7.7109375" style="135" bestFit="1" customWidth="1"/>
    <col min="3857" max="3857" width="7.5703125" style="135" bestFit="1" customWidth="1"/>
    <col min="3858" max="4102" width="8.85546875" style="135"/>
    <col min="4103" max="4103" width="20.28515625" style="135" customWidth="1"/>
    <col min="4104" max="4104" width="43.42578125" style="135" bestFit="1" customWidth="1"/>
    <col min="4105" max="4105" width="8.7109375" style="135" customWidth="1"/>
    <col min="4106" max="4106" width="2.7109375" style="135" customWidth="1"/>
    <col min="4107" max="4107" width="9.140625" style="135" bestFit="1" customWidth="1"/>
    <col min="4108" max="4108" width="7.7109375" style="135" bestFit="1" customWidth="1"/>
    <col min="4109" max="4109" width="7.5703125" style="135" bestFit="1" customWidth="1"/>
    <col min="4110" max="4110" width="2.7109375" style="135" customWidth="1"/>
    <col min="4111" max="4111" width="7.5703125" style="135" bestFit="1" customWidth="1"/>
    <col min="4112" max="4112" width="7.7109375" style="135" bestFit="1" customWidth="1"/>
    <col min="4113" max="4113" width="7.5703125" style="135" bestFit="1" customWidth="1"/>
    <col min="4114" max="4358" width="8.85546875" style="135"/>
    <col min="4359" max="4359" width="20.28515625" style="135" customWidth="1"/>
    <col min="4360" max="4360" width="43.42578125" style="135" bestFit="1" customWidth="1"/>
    <col min="4361" max="4361" width="8.7109375" style="135" customWidth="1"/>
    <col min="4362" max="4362" width="2.7109375" style="135" customWidth="1"/>
    <col min="4363" max="4363" width="9.140625" style="135" bestFit="1" customWidth="1"/>
    <col min="4364" max="4364" width="7.7109375" style="135" bestFit="1" customWidth="1"/>
    <col min="4365" max="4365" width="7.5703125" style="135" bestFit="1" customWidth="1"/>
    <col min="4366" max="4366" width="2.7109375" style="135" customWidth="1"/>
    <col min="4367" max="4367" width="7.5703125" style="135" bestFit="1" customWidth="1"/>
    <col min="4368" max="4368" width="7.7109375" style="135" bestFit="1" customWidth="1"/>
    <col min="4369" max="4369" width="7.5703125" style="135" bestFit="1" customWidth="1"/>
    <col min="4370" max="4614" width="8.85546875" style="135"/>
    <col min="4615" max="4615" width="20.28515625" style="135" customWidth="1"/>
    <col min="4616" max="4616" width="43.42578125" style="135" bestFit="1" customWidth="1"/>
    <col min="4617" max="4617" width="8.7109375" style="135" customWidth="1"/>
    <col min="4618" max="4618" width="2.7109375" style="135" customWidth="1"/>
    <col min="4619" max="4619" width="9.140625" style="135" bestFit="1" customWidth="1"/>
    <col min="4620" max="4620" width="7.7109375" style="135" bestFit="1" customWidth="1"/>
    <col min="4621" max="4621" width="7.5703125" style="135" bestFit="1" customWidth="1"/>
    <col min="4622" max="4622" width="2.7109375" style="135" customWidth="1"/>
    <col min="4623" max="4623" width="7.5703125" style="135" bestFit="1" customWidth="1"/>
    <col min="4624" max="4624" width="7.7109375" style="135" bestFit="1" customWidth="1"/>
    <col min="4625" max="4625" width="7.5703125" style="135" bestFit="1" customWidth="1"/>
    <col min="4626" max="4870" width="8.85546875" style="135"/>
    <col min="4871" max="4871" width="20.28515625" style="135" customWidth="1"/>
    <col min="4872" max="4872" width="43.42578125" style="135" bestFit="1" customWidth="1"/>
    <col min="4873" max="4873" width="8.7109375" style="135" customWidth="1"/>
    <col min="4874" max="4874" width="2.7109375" style="135" customWidth="1"/>
    <col min="4875" max="4875" width="9.140625" style="135" bestFit="1" customWidth="1"/>
    <col min="4876" max="4876" width="7.7109375" style="135" bestFit="1" customWidth="1"/>
    <col min="4877" max="4877" width="7.5703125" style="135" bestFit="1" customWidth="1"/>
    <col min="4878" max="4878" width="2.7109375" style="135" customWidth="1"/>
    <col min="4879" max="4879" width="7.5703125" style="135" bestFit="1" customWidth="1"/>
    <col min="4880" max="4880" width="7.7109375" style="135" bestFit="1" customWidth="1"/>
    <col min="4881" max="4881" width="7.5703125" style="135" bestFit="1" customWidth="1"/>
    <col min="4882" max="5126" width="8.85546875" style="135"/>
    <col min="5127" max="5127" width="20.28515625" style="135" customWidth="1"/>
    <col min="5128" max="5128" width="43.42578125" style="135" bestFit="1" customWidth="1"/>
    <col min="5129" max="5129" width="8.7109375" style="135" customWidth="1"/>
    <col min="5130" max="5130" width="2.7109375" style="135" customWidth="1"/>
    <col min="5131" max="5131" width="9.140625" style="135" bestFit="1" customWidth="1"/>
    <col min="5132" max="5132" width="7.7109375" style="135" bestFit="1" customWidth="1"/>
    <col min="5133" max="5133" width="7.5703125" style="135" bestFit="1" customWidth="1"/>
    <col min="5134" max="5134" width="2.7109375" style="135" customWidth="1"/>
    <col min="5135" max="5135" width="7.5703125" style="135" bestFit="1" customWidth="1"/>
    <col min="5136" max="5136" width="7.7109375" style="135" bestFit="1" customWidth="1"/>
    <col min="5137" max="5137" width="7.5703125" style="135" bestFit="1" customWidth="1"/>
    <col min="5138" max="5382" width="8.85546875" style="135"/>
    <col min="5383" max="5383" width="20.28515625" style="135" customWidth="1"/>
    <col min="5384" max="5384" width="43.42578125" style="135" bestFit="1" customWidth="1"/>
    <col min="5385" max="5385" width="8.7109375" style="135" customWidth="1"/>
    <col min="5386" max="5386" width="2.7109375" style="135" customWidth="1"/>
    <col min="5387" max="5387" width="9.140625" style="135" bestFit="1" customWidth="1"/>
    <col min="5388" max="5388" width="7.7109375" style="135" bestFit="1" customWidth="1"/>
    <col min="5389" max="5389" width="7.5703125" style="135" bestFit="1" customWidth="1"/>
    <col min="5390" max="5390" width="2.7109375" style="135" customWidth="1"/>
    <col min="5391" max="5391" width="7.5703125" style="135" bestFit="1" customWidth="1"/>
    <col min="5392" max="5392" width="7.7109375" style="135" bestFit="1" customWidth="1"/>
    <col min="5393" max="5393" width="7.5703125" style="135" bestFit="1" customWidth="1"/>
    <col min="5394" max="5638" width="8.85546875" style="135"/>
    <col min="5639" max="5639" width="20.28515625" style="135" customWidth="1"/>
    <col min="5640" max="5640" width="43.42578125" style="135" bestFit="1" customWidth="1"/>
    <col min="5641" max="5641" width="8.7109375" style="135" customWidth="1"/>
    <col min="5642" max="5642" width="2.7109375" style="135" customWidth="1"/>
    <col min="5643" max="5643" width="9.140625" style="135" bestFit="1" customWidth="1"/>
    <col min="5644" max="5644" width="7.7109375" style="135" bestFit="1" customWidth="1"/>
    <col min="5645" max="5645" width="7.5703125" style="135" bestFit="1" customWidth="1"/>
    <col min="5646" max="5646" width="2.7109375" style="135" customWidth="1"/>
    <col min="5647" max="5647" width="7.5703125" style="135" bestFit="1" customWidth="1"/>
    <col min="5648" max="5648" width="7.7109375" style="135" bestFit="1" customWidth="1"/>
    <col min="5649" max="5649" width="7.5703125" style="135" bestFit="1" customWidth="1"/>
    <col min="5650" max="5894" width="8.85546875" style="135"/>
    <col min="5895" max="5895" width="20.28515625" style="135" customWidth="1"/>
    <col min="5896" max="5896" width="43.42578125" style="135" bestFit="1" customWidth="1"/>
    <col min="5897" max="5897" width="8.7109375" style="135" customWidth="1"/>
    <col min="5898" max="5898" width="2.7109375" style="135" customWidth="1"/>
    <col min="5899" max="5899" width="9.140625" style="135" bestFit="1" customWidth="1"/>
    <col min="5900" max="5900" width="7.7109375" style="135" bestFit="1" customWidth="1"/>
    <col min="5901" max="5901" width="7.5703125" style="135" bestFit="1" customWidth="1"/>
    <col min="5902" max="5902" width="2.7109375" style="135" customWidth="1"/>
    <col min="5903" max="5903" width="7.5703125" style="135" bestFit="1" customWidth="1"/>
    <col min="5904" max="5904" width="7.7109375" style="135" bestFit="1" customWidth="1"/>
    <col min="5905" max="5905" width="7.5703125" style="135" bestFit="1" customWidth="1"/>
    <col min="5906" max="6150" width="8.85546875" style="135"/>
    <col min="6151" max="6151" width="20.28515625" style="135" customWidth="1"/>
    <col min="6152" max="6152" width="43.42578125" style="135" bestFit="1" customWidth="1"/>
    <col min="6153" max="6153" width="8.7109375" style="135" customWidth="1"/>
    <col min="6154" max="6154" width="2.7109375" style="135" customWidth="1"/>
    <col min="6155" max="6155" width="9.140625" style="135" bestFit="1" customWidth="1"/>
    <col min="6156" max="6156" width="7.7109375" style="135" bestFit="1" customWidth="1"/>
    <col min="6157" max="6157" width="7.5703125" style="135" bestFit="1" customWidth="1"/>
    <col min="6158" max="6158" width="2.7109375" style="135" customWidth="1"/>
    <col min="6159" max="6159" width="7.5703125" style="135" bestFit="1" customWidth="1"/>
    <col min="6160" max="6160" width="7.7109375" style="135" bestFit="1" customWidth="1"/>
    <col min="6161" max="6161" width="7.5703125" style="135" bestFit="1" customWidth="1"/>
    <col min="6162" max="6406" width="8.85546875" style="135"/>
    <col min="6407" max="6407" width="20.28515625" style="135" customWidth="1"/>
    <col min="6408" max="6408" width="43.42578125" style="135" bestFit="1" customWidth="1"/>
    <col min="6409" max="6409" width="8.7109375" style="135" customWidth="1"/>
    <col min="6410" max="6410" width="2.7109375" style="135" customWidth="1"/>
    <col min="6411" max="6411" width="9.140625" style="135" bestFit="1" customWidth="1"/>
    <col min="6412" max="6412" width="7.7109375" style="135" bestFit="1" customWidth="1"/>
    <col min="6413" max="6413" width="7.5703125" style="135" bestFit="1" customWidth="1"/>
    <col min="6414" max="6414" width="2.7109375" style="135" customWidth="1"/>
    <col min="6415" max="6415" width="7.5703125" style="135" bestFit="1" customWidth="1"/>
    <col min="6416" max="6416" width="7.7109375" style="135" bestFit="1" customWidth="1"/>
    <col min="6417" max="6417" width="7.5703125" style="135" bestFit="1" customWidth="1"/>
    <col min="6418" max="6662" width="8.85546875" style="135"/>
    <col min="6663" max="6663" width="20.28515625" style="135" customWidth="1"/>
    <col min="6664" max="6664" width="43.42578125" style="135" bestFit="1" customWidth="1"/>
    <col min="6665" max="6665" width="8.7109375" style="135" customWidth="1"/>
    <col min="6666" max="6666" width="2.7109375" style="135" customWidth="1"/>
    <col min="6667" max="6667" width="9.140625" style="135" bestFit="1" customWidth="1"/>
    <col min="6668" max="6668" width="7.7109375" style="135" bestFit="1" customWidth="1"/>
    <col min="6669" max="6669" width="7.5703125" style="135" bestFit="1" customWidth="1"/>
    <col min="6670" max="6670" width="2.7109375" style="135" customWidth="1"/>
    <col min="6671" max="6671" width="7.5703125" style="135" bestFit="1" customWidth="1"/>
    <col min="6672" max="6672" width="7.7109375" style="135" bestFit="1" customWidth="1"/>
    <col min="6673" max="6673" width="7.5703125" style="135" bestFit="1" customWidth="1"/>
    <col min="6674" max="6918" width="8.85546875" style="135"/>
    <col min="6919" max="6919" width="20.28515625" style="135" customWidth="1"/>
    <col min="6920" max="6920" width="43.42578125" style="135" bestFit="1" customWidth="1"/>
    <col min="6921" max="6921" width="8.7109375" style="135" customWidth="1"/>
    <col min="6922" max="6922" width="2.7109375" style="135" customWidth="1"/>
    <col min="6923" max="6923" width="9.140625" style="135" bestFit="1" customWidth="1"/>
    <col min="6924" max="6924" width="7.7109375" style="135" bestFit="1" customWidth="1"/>
    <col min="6925" max="6925" width="7.5703125" style="135" bestFit="1" customWidth="1"/>
    <col min="6926" max="6926" width="2.7109375" style="135" customWidth="1"/>
    <col min="6927" max="6927" width="7.5703125" style="135" bestFit="1" customWidth="1"/>
    <col min="6928" max="6928" width="7.7109375" style="135" bestFit="1" customWidth="1"/>
    <col min="6929" max="6929" width="7.5703125" style="135" bestFit="1" customWidth="1"/>
    <col min="6930" max="7174" width="8.85546875" style="135"/>
    <col min="7175" max="7175" width="20.28515625" style="135" customWidth="1"/>
    <col min="7176" max="7176" width="43.42578125" style="135" bestFit="1" customWidth="1"/>
    <col min="7177" max="7177" width="8.7109375" style="135" customWidth="1"/>
    <col min="7178" max="7178" width="2.7109375" style="135" customWidth="1"/>
    <col min="7179" max="7179" width="9.140625" style="135" bestFit="1" customWidth="1"/>
    <col min="7180" max="7180" width="7.7109375" style="135" bestFit="1" customWidth="1"/>
    <col min="7181" max="7181" width="7.5703125" style="135" bestFit="1" customWidth="1"/>
    <col min="7182" max="7182" width="2.7109375" style="135" customWidth="1"/>
    <col min="7183" max="7183" width="7.5703125" style="135" bestFit="1" customWidth="1"/>
    <col min="7184" max="7184" width="7.7109375" style="135" bestFit="1" customWidth="1"/>
    <col min="7185" max="7185" width="7.5703125" style="135" bestFit="1" customWidth="1"/>
    <col min="7186" max="7430" width="8.85546875" style="135"/>
    <col min="7431" max="7431" width="20.28515625" style="135" customWidth="1"/>
    <col min="7432" max="7432" width="43.42578125" style="135" bestFit="1" customWidth="1"/>
    <col min="7433" max="7433" width="8.7109375" style="135" customWidth="1"/>
    <col min="7434" max="7434" width="2.7109375" style="135" customWidth="1"/>
    <col min="7435" max="7435" width="9.140625" style="135" bestFit="1" customWidth="1"/>
    <col min="7436" max="7436" width="7.7109375" style="135" bestFit="1" customWidth="1"/>
    <col min="7437" max="7437" width="7.5703125" style="135" bestFit="1" customWidth="1"/>
    <col min="7438" max="7438" width="2.7109375" style="135" customWidth="1"/>
    <col min="7439" max="7439" width="7.5703125" style="135" bestFit="1" customWidth="1"/>
    <col min="7440" max="7440" width="7.7109375" style="135" bestFit="1" customWidth="1"/>
    <col min="7441" max="7441" width="7.5703125" style="135" bestFit="1" customWidth="1"/>
    <col min="7442" max="7686" width="8.85546875" style="135"/>
    <col min="7687" max="7687" width="20.28515625" style="135" customWidth="1"/>
    <col min="7688" max="7688" width="43.42578125" style="135" bestFit="1" customWidth="1"/>
    <col min="7689" max="7689" width="8.7109375" style="135" customWidth="1"/>
    <col min="7690" max="7690" width="2.7109375" style="135" customWidth="1"/>
    <col min="7691" max="7691" width="9.140625" style="135" bestFit="1" customWidth="1"/>
    <col min="7692" max="7692" width="7.7109375" style="135" bestFit="1" customWidth="1"/>
    <col min="7693" max="7693" width="7.5703125" style="135" bestFit="1" customWidth="1"/>
    <col min="7694" max="7694" width="2.7109375" style="135" customWidth="1"/>
    <col min="7695" max="7695" width="7.5703125" style="135" bestFit="1" customWidth="1"/>
    <col min="7696" max="7696" width="7.7109375" style="135" bestFit="1" customWidth="1"/>
    <col min="7697" max="7697" width="7.5703125" style="135" bestFit="1" customWidth="1"/>
    <col min="7698" max="7942" width="8.85546875" style="135"/>
    <col min="7943" max="7943" width="20.28515625" style="135" customWidth="1"/>
    <col min="7944" max="7944" width="43.42578125" style="135" bestFit="1" customWidth="1"/>
    <col min="7945" max="7945" width="8.7109375" style="135" customWidth="1"/>
    <col min="7946" max="7946" width="2.7109375" style="135" customWidth="1"/>
    <col min="7947" max="7947" width="9.140625" style="135" bestFit="1" customWidth="1"/>
    <col min="7948" max="7948" width="7.7109375" style="135" bestFit="1" customWidth="1"/>
    <col min="7949" max="7949" width="7.5703125" style="135" bestFit="1" customWidth="1"/>
    <col min="7950" max="7950" width="2.7109375" style="135" customWidth="1"/>
    <col min="7951" max="7951" width="7.5703125" style="135" bestFit="1" customWidth="1"/>
    <col min="7952" max="7952" width="7.7109375" style="135" bestFit="1" customWidth="1"/>
    <col min="7953" max="7953" width="7.5703125" style="135" bestFit="1" customWidth="1"/>
    <col min="7954" max="8198" width="8.85546875" style="135"/>
    <col min="8199" max="8199" width="20.28515625" style="135" customWidth="1"/>
    <col min="8200" max="8200" width="43.42578125" style="135" bestFit="1" customWidth="1"/>
    <col min="8201" max="8201" width="8.7109375" style="135" customWidth="1"/>
    <col min="8202" max="8202" width="2.7109375" style="135" customWidth="1"/>
    <col min="8203" max="8203" width="9.140625" style="135" bestFit="1" customWidth="1"/>
    <col min="8204" max="8204" width="7.7109375" style="135" bestFit="1" customWidth="1"/>
    <col min="8205" max="8205" width="7.5703125" style="135" bestFit="1" customWidth="1"/>
    <col min="8206" max="8206" width="2.7109375" style="135" customWidth="1"/>
    <col min="8207" max="8207" width="7.5703125" style="135" bestFit="1" customWidth="1"/>
    <col min="8208" max="8208" width="7.7109375" style="135" bestFit="1" customWidth="1"/>
    <col min="8209" max="8209" width="7.5703125" style="135" bestFit="1" customWidth="1"/>
    <col min="8210" max="8454" width="8.85546875" style="135"/>
    <col min="8455" max="8455" width="20.28515625" style="135" customWidth="1"/>
    <col min="8456" max="8456" width="43.42578125" style="135" bestFit="1" customWidth="1"/>
    <col min="8457" max="8457" width="8.7109375" style="135" customWidth="1"/>
    <col min="8458" max="8458" width="2.7109375" style="135" customWidth="1"/>
    <col min="8459" max="8459" width="9.140625" style="135" bestFit="1" customWidth="1"/>
    <col min="8460" max="8460" width="7.7109375" style="135" bestFit="1" customWidth="1"/>
    <col min="8461" max="8461" width="7.5703125" style="135" bestFit="1" customWidth="1"/>
    <col min="8462" max="8462" width="2.7109375" style="135" customWidth="1"/>
    <col min="8463" max="8463" width="7.5703125" style="135" bestFit="1" customWidth="1"/>
    <col min="8464" max="8464" width="7.7109375" style="135" bestFit="1" customWidth="1"/>
    <col min="8465" max="8465" width="7.5703125" style="135" bestFit="1" customWidth="1"/>
    <col min="8466" max="8710" width="8.85546875" style="135"/>
    <col min="8711" max="8711" width="20.28515625" style="135" customWidth="1"/>
    <col min="8712" max="8712" width="43.42578125" style="135" bestFit="1" customWidth="1"/>
    <col min="8713" max="8713" width="8.7109375" style="135" customWidth="1"/>
    <col min="8714" max="8714" width="2.7109375" style="135" customWidth="1"/>
    <col min="8715" max="8715" width="9.140625" style="135" bestFit="1" customWidth="1"/>
    <col min="8716" max="8716" width="7.7109375" style="135" bestFit="1" customWidth="1"/>
    <col min="8717" max="8717" width="7.5703125" style="135" bestFit="1" customWidth="1"/>
    <col min="8718" max="8718" width="2.7109375" style="135" customWidth="1"/>
    <col min="8719" max="8719" width="7.5703125" style="135" bestFit="1" customWidth="1"/>
    <col min="8720" max="8720" width="7.7109375" style="135" bestFit="1" customWidth="1"/>
    <col min="8721" max="8721" width="7.5703125" style="135" bestFit="1" customWidth="1"/>
    <col min="8722" max="8966" width="8.85546875" style="135"/>
    <col min="8967" max="8967" width="20.28515625" style="135" customWidth="1"/>
    <col min="8968" max="8968" width="43.42578125" style="135" bestFit="1" customWidth="1"/>
    <col min="8969" max="8969" width="8.7109375" style="135" customWidth="1"/>
    <col min="8970" max="8970" width="2.7109375" style="135" customWidth="1"/>
    <col min="8971" max="8971" width="9.140625" style="135" bestFit="1" customWidth="1"/>
    <col min="8972" max="8972" width="7.7109375" style="135" bestFit="1" customWidth="1"/>
    <col min="8973" max="8973" width="7.5703125" style="135" bestFit="1" customWidth="1"/>
    <col min="8974" max="8974" width="2.7109375" style="135" customWidth="1"/>
    <col min="8975" max="8975" width="7.5703125" style="135" bestFit="1" customWidth="1"/>
    <col min="8976" max="8976" width="7.7109375" style="135" bestFit="1" customWidth="1"/>
    <col min="8977" max="8977" width="7.5703125" style="135" bestFit="1" customWidth="1"/>
    <col min="8978" max="9222" width="8.85546875" style="135"/>
    <col min="9223" max="9223" width="20.28515625" style="135" customWidth="1"/>
    <col min="9224" max="9224" width="43.42578125" style="135" bestFit="1" customWidth="1"/>
    <col min="9225" max="9225" width="8.7109375" style="135" customWidth="1"/>
    <col min="9226" max="9226" width="2.7109375" style="135" customWidth="1"/>
    <col min="9227" max="9227" width="9.140625" style="135" bestFit="1" customWidth="1"/>
    <col min="9228" max="9228" width="7.7109375" style="135" bestFit="1" customWidth="1"/>
    <col min="9229" max="9229" width="7.5703125" style="135" bestFit="1" customWidth="1"/>
    <col min="9230" max="9230" width="2.7109375" style="135" customWidth="1"/>
    <col min="9231" max="9231" width="7.5703125" style="135" bestFit="1" customWidth="1"/>
    <col min="9232" max="9232" width="7.7109375" style="135" bestFit="1" customWidth="1"/>
    <col min="9233" max="9233" width="7.5703125" style="135" bestFit="1" customWidth="1"/>
    <col min="9234" max="9478" width="8.85546875" style="135"/>
    <col min="9479" max="9479" width="20.28515625" style="135" customWidth="1"/>
    <col min="9480" max="9480" width="43.42578125" style="135" bestFit="1" customWidth="1"/>
    <col min="9481" max="9481" width="8.7109375" style="135" customWidth="1"/>
    <col min="9482" max="9482" width="2.7109375" style="135" customWidth="1"/>
    <col min="9483" max="9483" width="9.140625" style="135" bestFit="1" customWidth="1"/>
    <col min="9484" max="9484" width="7.7109375" style="135" bestFit="1" customWidth="1"/>
    <col min="9485" max="9485" width="7.5703125" style="135" bestFit="1" customWidth="1"/>
    <col min="9486" max="9486" width="2.7109375" style="135" customWidth="1"/>
    <col min="9487" max="9487" width="7.5703125" style="135" bestFit="1" customWidth="1"/>
    <col min="9488" max="9488" width="7.7109375" style="135" bestFit="1" customWidth="1"/>
    <col min="9489" max="9489" width="7.5703125" style="135" bestFit="1" customWidth="1"/>
    <col min="9490" max="9734" width="8.85546875" style="135"/>
    <col min="9735" max="9735" width="20.28515625" style="135" customWidth="1"/>
    <col min="9736" max="9736" width="43.42578125" style="135" bestFit="1" customWidth="1"/>
    <col min="9737" max="9737" width="8.7109375" style="135" customWidth="1"/>
    <col min="9738" max="9738" width="2.7109375" style="135" customWidth="1"/>
    <col min="9739" max="9739" width="9.140625" style="135" bestFit="1" customWidth="1"/>
    <col min="9740" max="9740" width="7.7109375" style="135" bestFit="1" customWidth="1"/>
    <col min="9741" max="9741" width="7.5703125" style="135" bestFit="1" customWidth="1"/>
    <col min="9742" max="9742" width="2.7109375" style="135" customWidth="1"/>
    <col min="9743" max="9743" width="7.5703125" style="135" bestFit="1" customWidth="1"/>
    <col min="9744" max="9744" width="7.7109375" style="135" bestFit="1" customWidth="1"/>
    <col min="9745" max="9745" width="7.5703125" style="135" bestFit="1" customWidth="1"/>
    <col min="9746" max="9990" width="8.85546875" style="135"/>
    <col min="9991" max="9991" width="20.28515625" style="135" customWidth="1"/>
    <col min="9992" max="9992" width="43.42578125" style="135" bestFit="1" customWidth="1"/>
    <col min="9993" max="9993" width="8.7109375" style="135" customWidth="1"/>
    <col min="9994" max="9994" width="2.7109375" style="135" customWidth="1"/>
    <col min="9995" max="9995" width="9.140625" style="135" bestFit="1" customWidth="1"/>
    <col min="9996" max="9996" width="7.7109375" style="135" bestFit="1" customWidth="1"/>
    <col min="9997" max="9997" width="7.5703125" style="135" bestFit="1" customWidth="1"/>
    <col min="9998" max="9998" width="2.7109375" style="135" customWidth="1"/>
    <col min="9999" max="9999" width="7.5703125" style="135" bestFit="1" customWidth="1"/>
    <col min="10000" max="10000" width="7.7109375" style="135" bestFit="1" customWidth="1"/>
    <col min="10001" max="10001" width="7.5703125" style="135" bestFit="1" customWidth="1"/>
    <col min="10002" max="10246" width="8.85546875" style="135"/>
    <col min="10247" max="10247" width="20.28515625" style="135" customWidth="1"/>
    <col min="10248" max="10248" width="43.42578125" style="135" bestFit="1" customWidth="1"/>
    <col min="10249" max="10249" width="8.7109375" style="135" customWidth="1"/>
    <col min="10250" max="10250" width="2.7109375" style="135" customWidth="1"/>
    <col min="10251" max="10251" width="9.140625" style="135" bestFit="1" customWidth="1"/>
    <col min="10252" max="10252" width="7.7109375" style="135" bestFit="1" customWidth="1"/>
    <col min="10253" max="10253" width="7.5703125" style="135" bestFit="1" customWidth="1"/>
    <col min="10254" max="10254" width="2.7109375" style="135" customWidth="1"/>
    <col min="10255" max="10255" width="7.5703125" style="135" bestFit="1" customWidth="1"/>
    <col min="10256" max="10256" width="7.7109375" style="135" bestFit="1" customWidth="1"/>
    <col min="10257" max="10257" width="7.5703125" style="135" bestFit="1" customWidth="1"/>
    <col min="10258" max="10502" width="8.85546875" style="135"/>
    <col min="10503" max="10503" width="20.28515625" style="135" customWidth="1"/>
    <col min="10504" max="10504" width="43.42578125" style="135" bestFit="1" customWidth="1"/>
    <col min="10505" max="10505" width="8.7109375" style="135" customWidth="1"/>
    <col min="10506" max="10506" width="2.7109375" style="135" customWidth="1"/>
    <col min="10507" max="10507" width="9.140625" style="135" bestFit="1" customWidth="1"/>
    <col min="10508" max="10508" width="7.7109375" style="135" bestFit="1" customWidth="1"/>
    <col min="10509" max="10509" width="7.5703125" style="135" bestFit="1" customWidth="1"/>
    <col min="10510" max="10510" width="2.7109375" style="135" customWidth="1"/>
    <col min="10511" max="10511" width="7.5703125" style="135" bestFit="1" customWidth="1"/>
    <col min="10512" max="10512" width="7.7109375" style="135" bestFit="1" customWidth="1"/>
    <col min="10513" max="10513" width="7.5703125" style="135" bestFit="1" customWidth="1"/>
    <col min="10514" max="10758" width="8.85546875" style="135"/>
    <col min="10759" max="10759" width="20.28515625" style="135" customWidth="1"/>
    <col min="10760" max="10760" width="43.42578125" style="135" bestFit="1" customWidth="1"/>
    <col min="10761" max="10761" width="8.7109375" style="135" customWidth="1"/>
    <col min="10762" max="10762" width="2.7109375" style="135" customWidth="1"/>
    <col min="10763" max="10763" width="9.140625" style="135" bestFit="1" customWidth="1"/>
    <col min="10764" max="10764" width="7.7109375" style="135" bestFit="1" customWidth="1"/>
    <col min="10765" max="10765" width="7.5703125" style="135" bestFit="1" customWidth="1"/>
    <col min="10766" max="10766" width="2.7109375" style="135" customWidth="1"/>
    <col min="10767" max="10767" width="7.5703125" style="135" bestFit="1" customWidth="1"/>
    <col min="10768" max="10768" width="7.7109375" style="135" bestFit="1" customWidth="1"/>
    <col min="10769" max="10769" width="7.5703125" style="135" bestFit="1" customWidth="1"/>
    <col min="10770" max="11014" width="8.85546875" style="135"/>
    <col min="11015" max="11015" width="20.28515625" style="135" customWidth="1"/>
    <col min="11016" max="11016" width="43.42578125" style="135" bestFit="1" customWidth="1"/>
    <col min="11017" max="11017" width="8.7109375" style="135" customWidth="1"/>
    <col min="11018" max="11018" width="2.7109375" style="135" customWidth="1"/>
    <col min="11019" max="11019" width="9.140625" style="135" bestFit="1" customWidth="1"/>
    <col min="11020" max="11020" width="7.7109375" style="135" bestFit="1" customWidth="1"/>
    <col min="11021" max="11021" width="7.5703125" style="135" bestFit="1" customWidth="1"/>
    <col min="11022" max="11022" width="2.7109375" style="135" customWidth="1"/>
    <col min="11023" max="11023" width="7.5703125" style="135" bestFit="1" customWidth="1"/>
    <col min="11024" max="11024" width="7.7109375" style="135" bestFit="1" customWidth="1"/>
    <col min="11025" max="11025" width="7.5703125" style="135" bestFit="1" customWidth="1"/>
    <col min="11026" max="11270" width="8.85546875" style="135"/>
    <col min="11271" max="11271" width="20.28515625" style="135" customWidth="1"/>
    <col min="11272" max="11272" width="43.42578125" style="135" bestFit="1" customWidth="1"/>
    <col min="11273" max="11273" width="8.7109375" style="135" customWidth="1"/>
    <col min="11274" max="11274" width="2.7109375" style="135" customWidth="1"/>
    <col min="11275" max="11275" width="9.140625" style="135" bestFit="1" customWidth="1"/>
    <col min="11276" max="11276" width="7.7109375" style="135" bestFit="1" customWidth="1"/>
    <col min="11277" max="11277" width="7.5703125" style="135" bestFit="1" customWidth="1"/>
    <col min="11278" max="11278" width="2.7109375" style="135" customWidth="1"/>
    <col min="11279" max="11279" width="7.5703125" style="135" bestFit="1" customWidth="1"/>
    <col min="11280" max="11280" width="7.7109375" style="135" bestFit="1" customWidth="1"/>
    <col min="11281" max="11281" width="7.5703125" style="135" bestFit="1" customWidth="1"/>
    <col min="11282" max="11526" width="8.85546875" style="135"/>
    <col min="11527" max="11527" width="20.28515625" style="135" customWidth="1"/>
    <col min="11528" max="11528" width="43.42578125" style="135" bestFit="1" customWidth="1"/>
    <col min="11529" max="11529" width="8.7109375" style="135" customWidth="1"/>
    <col min="11530" max="11530" width="2.7109375" style="135" customWidth="1"/>
    <col min="11531" max="11531" width="9.140625" style="135" bestFit="1" customWidth="1"/>
    <col min="11532" max="11532" width="7.7109375" style="135" bestFit="1" customWidth="1"/>
    <col min="11533" max="11533" width="7.5703125" style="135" bestFit="1" customWidth="1"/>
    <col min="11534" max="11534" width="2.7109375" style="135" customWidth="1"/>
    <col min="11535" max="11535" width="7.5703125" style="135" bestFit="1" customWidth="1"/>
    <col min="11536" max="11536" width="7.7109375" style="135" bestFit="1" customWidth="1"/>
    <col min="11537" max="11537" width="7.5703125" style="135" bestFit="1" customWidth="1"/>
    <col min="11538" max="11782" width="8.85546875" style="135"/>
    <col min="11783" max="11783" width="20.28515625" style="135" customWidth="1"/>
    <col min="11784" max="11784" width="43.42578125" style="135" bestFit="1" customWidth="1"/>
    <col min="11785" max="11785" width="8.7109375" style="135" customWidth="1"/>
    <col min="11786" max="11786" width="2.7109375" style="135" customWidth="1"/>
    <col min="11787" max="11787" width="9.140625" style="135" bestFit="1" customWidth="1"/>
    <col min="11788" max="11788" width="7.7109375" style="135" bestFit="1" customWidth="1"/>
    <col min="11789" max="11789" width="7.5703125" style="135" bestFit="1" customWidth="1"/>
    <col min="11790" max="11790" width="2.7109375" style="135" customWidth="1"/>
    <col min="11791" max="11791" width="7.5703125" style="135" bestFit="1" customWidth="1"/>
    <col min="11792" max="11792" width="7.7109375" style="135" bestFit="1" customWidth="1"/>
    <col min="11793" max="11793" width="7.5703125" style="135" bestFit="1" customWidth="1"/>
    <col min="11794" max="12038" width="8.85546875" style="135"/>
    <col min="12039" max="12039" width="20.28515625" style="135" customWidth="1"/>
    <col min="12040" max="12040" width="43.42578125" style="135" bestFit="1" customWidth="1"/>
    <col min="12041" max="12041" width="8.7109375" style="135" customWidth="1"/>
    <col min="12042" max="12042" width="2.7109375" style="135" customWidth="1"/>
    <col min="12043" max="12043" width="9.140625" style="135" bestFit="1" customWidth="1"/>
    <col min="12044" max="12044" width="7.7109375" style="135" bestFit="1" customWidth="1"/>
    <col min="12045" max="12045" width="7.5703125" style="135" bestFit="1" customWidth="1"/>
    <col min="12046" max="12046" width="2.7109375" style="135" customWidth="1"/>
    <col min="12047" max="12047" width="7.5703125" style="135" bestFit="1" customWidth="1"/>
    <col min="12048" max="12048" width="7.7109375" style="135" bestFit="1" customWidth="1"/>
    <col min="12049" max="12049" width="7.5703125" style="135" bestFit="1" customWidth="1"/>
    <col min="12050" max="12294" width="8.85546875" style="135"/>
    <col min="12295" max="12295" width="20.28515625" style="135" customWidth="1"/>
    <col min="12296" max="12296" width="43.42578125" style="135" bestFit="1" customWidth="1"/>
    <col min="12297" max="12297" width="8.7109375" style="135" customWidth="1"/>
    <col min="12298" max="12298" width="2.7109375" style="135" customWidth="1"/>
    <col min="12299" max="12299" width="9.140625" style="135" bestFit="1" customWidth="1"/>
    <col min="12300" max="12300" width="7.7109375" style="135" bestFit="1" customWidth="1"/>
    <col min="12301" max="12301" width="7.5703125" style="135" bestFit="1" customWidth="1"/>
    <col min="12302" max="12302" width="2.7109375" style="135" customWidth="1"/>
    <col min="12303" max="12303" width="7.5703125" style="135" bestFit="1" customWidth="1"/>
    <col min="12304" max="12304" width="7.7109375" style="135" bestFit="1" customWidth="1"/>
    <col min="12305" max="12305" width="7.5703125" style="135" bestFit="1" customWidth="1"/>
    <col min="12306" max="12550" width="8.85546875" style="135"/>
    <col min="12551" max="12551" width="20.28515625" style="135" customWidth="1"/>
    <col min="12552" max="12552" width="43.42578125" style="135" bestFit="1" customWidth="1"/>
    <col min="12553" max="12553" width="8.7109375" style="135" customWidth="1"/>
    <col min="12554" max="12554" width="2.7109375" style="135" customWidth="1"/>
    <col min="12555" max="12555" width="9.140625" style="135" bestFit="1" customWidth="1"/>
    <col min="12556" max="12556" width="7.7109375" style="135" bestFit="1" customWidth="1"/>
    <col min="12557" max="12557" width="7.5703125" style="135" bestFit="1" customWidth="1"/>
    <col min="12558" max="12558" width="2.7109375" style="135" customWidth="1"/>
    <col min="12559" max="12559" width="7.5703125" style="135" bestFit="1" customWidth="1"/>
    <col min="12560" max="12560" width="7.7109375" style="135" bestFit="1" customWidth="1"/>
    <col min="12561" max="12561" width="7.5703125" style="135" bestFit="1" customWidth="1"/>
    <col min="12562" max="12806" width="8.85546875" style="135"/>
    <col min="12807" max="12807" width="20.28515625" style="135" customWidth="1"/>
    <col min="12808" max="12808" width="43.42578125" style="135" bestFit="1" customWidth="1"/>
    <col min="12809" max="12809" width="8.7109375" style="135" customWidth="1"/>
    <col min="12810" max="12810" width="2.7109375" style="135" customWidth="1"/>
    <col min="12811" max="12811" width="9.140625" style="135" bestFit="1" customWidth="1"/>
    <col min="12812" max="12812" width="7.7109375" style="135" bestFit="1" customWidth="1"/>
    <col min="12813" max="12813" width="7.5703125" style="135" bestFit="1" customWidth="1"/>
    <col min="12814" max="12814" width="2.7109375" style="135" customWidth="1"/>
    <col min="12815" max="12815" width="7.5703125" style="135" bestFit="1" customWidth="1"/>
    <col min="12816" max="12816" width="7.7109375" style="135" bestFit="1" customWidth="1"/>
    <col min="12817" max="12817" width="7.5703125" style="135" bestFit="1" customWidth="1"/>
    <col min="12818" max="13062" width="8.85546875" style="135"/>
    <col min="13063" max="13063" width="20.28515625" style="135" customWidth="1"/>
    <col min="13064" max="13064" width="43.42578125" style="135" bestFit="1" customWidth="1"/>
    <col min="13065" max="13065" width="8.7109375" style="135" customWidth="1"/>
    <col min="13066" max="13066" width="2.7109375" style="135" customWidth="1"/>
    <col min="13067" max="13067" width="9.140625" style="135" bestFit="1" customWidth="1"/>
    <col min="13068" max="13068" width="7.7109375" style="135" bestFit="1" customWidth="1"/>
    <col min="13069" max="13069" width="7.5703125" style="135" bestFit="1" customWidth="1"/>
    <col min="13070" max="13070" width="2.7109375" style="135" customWidth="1"/>
    <col min="13071" max="13071" width="7.5703125" style="135" bestFit="1" customWidth="1"/>
    <col min="13072" max="13072" width="7.7109375" style="135" bestFit="1" customWidth="1"/>
    <col min="13073" max="13073" width="7.5703125" style="135" bestFit="1" customWidth="1"/>
    <col min="13074" max="13318" width="8.85546875" style="135"/>
    <col min="13319" max="13319" width="20.28515625" style="135" customWidth="1"/>
    <col min="13320" max="13320" width="43.42578125" style="135" bestFit="1" customWidth="1"/>
    <col min="13321" max="13321" width="8.7109375" style="135" customWidth="1"/>
    <col min="13322" max="13322" width="2.7109375" style="135" customWidth="1"/>
    <col min="13323" max="13323" width="9.140625" style="135" bestFit="1" customWidth="1"/>
    <col min="13324" max="13324" width="7.7109375" style="135" bestFit="1" customWidth="1"/>
    <col min="13325" max="13325" width="7.5703125" style="135" bestFit="1" customWidth="1"/>
    <col min="13326" max="13326" width="2.7109375" style="135" customWidth="1"/>
    <col min="13327" max="13327" width="7.5703125" style="135" bestFit="1" customWidth="1"/>
    <col min="13328" max="13328" width="7.7109375" style="135" bestFit="1" customWidth="1"/>
    <col min="13329" max="13329" width="7.5703125" style="135" bestFit="1" customWidth="1"/>
    <col min="13330" max="13574" width="8.85546875" style="135"/>
    <col min="13575" max="13575" width="20.28515625" style="135" customWidth="1"/>
    <col min="13576" max="13576" width="43.42578125" style="135" bestFit="1" customWidth="1"/>
    <col min="13577" max="13577" width="8.7109375" style="135" customWidth="1"/>
    <col min="13578" max="13578" width="2.7109375" style="135" customWidth="1"/>
    <col min="13579" max="13579" width="9.140625" style="135" bestFit="1" customWidth="1"/>
    <col min="13580" max="13580" width="7.7109375" style="135" bestFit="1" customWidth="1"/>
    <col min="13581" max="13581" width="7.5703125" style="135" bestFit="1" customWidth="1"/>
    <col min="13582" max="13582" width="2.7109375" style="135" customWidth="1"/>
    <col min="13583" max="13583" width="7.5703125" style="135" bestFit="1" customWidth="1"/>
    <col min="13584" max="13584" width="7.7109375" style="135" bestFit="1" customWidth="1"/>
    <col min="13585" max="13585" width="7.5703125" style="135" bestFit="1" customWidth="1"/>
    <col min="13586" max="13830" width="8.85546875" style="135"/>
    <col min="13831" max="13831" width="20.28515625" style="135" customWidth="1"/>
    <col min="13832" max="13832" width="43.42578125" style="135" bestFit="1" customWidth="1"/>
    <col min="13833" max="13833" width="8.7109375" style="135" customWidth="1"/>
    <col min="13834" max="13834" width="2.7109375" style="135" customWidth="1"/>
    <col min="13835" max="13835" width="9.140625" style="135" bestFit="1" customWidth="1"/>
    <col min="13836" max="13836" width="7.7109375" style="135" bestFit="1" customWidth="1"/>
    <col min="13837" max="13837" width="7.5703125" style="135" bestFit="1" customWidth="1"/>
    <col min="13838" max="13838" width="2.7109375" style="135" customWidth="1"/>
    <col min="13839" max="13839" width="7.5703125" style="135" bestFit="1" customWidth="1"/>
    <col min="13840" max="13840" width="7.7109375" style="135" bestFit="1" customWidth="1"/>
    <col min="13841" max="13841" width="7.5703125" style="135" bestFit="1" customWidth="1"/>
    <col min="13842" max="14086" width="8.85546875" style="135"/>
    <col min="14087" max="14087" width="20.28515625" style="135" customWidth="1"/>
    <col min="14088" max="14088" width="43.42578125" style="135" bestFit="1" customWidth="1"/>
    <col min="14089" max="14089" width="8.7109375" style="135" customWidth="1"/>
    <col min="14090" max="14090" width="2.7109375" style="135" customWidth="1"/>
    <col min="14091" max="14091" width="9.140625" style="135" bestFit="1" customWidth="1"/>
    <col min="14092" max="14092" width="7.7109375" style="135" bestFit="1" customWidth="1"/>
    <col min="14093" max="14093" width="7.5703125" style="135" bestFit="1" customWidth="1"/>
    <col min="14094" max="14094" width="2.7109375" style="135" customWidth="1"/>
    <col min="14095" max="14095" width="7.5703125" style="135" bestFit="1" customWidth="1"/>
    <col min="14096" max="14096" width="7.7109375" style="135" bestFit="1" customWidth="1"/>
    <col min="14097" max="14097" width="7.5703125" style="135" bestFit="1" customWidth="1"/>
    <col min="14098" max="14342" width="8.85546875" style="135"/>
    <col min="14343" max="14343" width="20.28515625" style="135" customWidth="1"/>
    <col min="14344" max="14344" width="43.42578125" style="135" bestFit="1" customWidth="1"/>
    <col min="14345" max="14345" width="8.7109375" style="135" customWidth="1"/>
    <col min="14346" max="14346" width="2.7109375" style="135" customWidth="1"/>
    <col min="14347" max="14347" width="9.140625" style="135" bestFit="1" customWidth="1"/>
    <col min="14348" max="14348" width="7.7109375" style="135" bestFit="1" customWidth="1"/>
    <col min="14349" max="14349" width="7.5703125" style="135" bestFit="1" customWidth="1"/>
    <col min="14350" max="14350" width="2.7109375" style="135" customWidth="1"/>
    <col min="14351" max="14351" width="7.5703125" style="135" bestFit="1" customWidth="1"/>
    <col min="14352" max="14352" width="7.7109375" style="135" bestFit="1" customWidth="1"/>
    <col min="14353" max="14353" width="7.5703125" style="135" bestFit="1" customWidth="1"/>
    <col min="14354" max="14598" width="8.85546875" style="135"/>
    <col min="14599" max="14599" width="20.28515625" style="135" customWidth="1"/>
    <col min="14600" max="14600" width="43.42578125" style="135" bestFit="1" customWidth="1"/>
    <col min="14601" max="14601" width="8.7109375" style="135" customWidth="1"/>
    <col min="14602" max="14602" width="2.7109375" style="135" customWidth="1"/>
    <col min="14603" max="14603" width="9.140625" style="135" bestFit="1" customWidth="1"/>
    <col min="14604" max="14604" width="7.7109375" style="135" bestFit="1" customWidth="1"/>
    <col min="14605" max="14605" width="7.5703125" style="135" bestFit="1" customWidth="1"/>
    <col min="14606" max="14606" width="2.7109375" style="135" customWidth="1"/>
    <col min="14607" max="14607" width="7.5703125" style="135" bestFit="1" customWidth="1"/>
    <col min="14608" max="14608" width="7.7109375" style="135" bestFit="1" customWidth="1"/>
    <col min="14609" max="14609" width="7.5703125" style="135" bestFit="1" customWidth="1"/>
    <col min="14610" max="14854" width="8.85546875" style="135"/>
    <col min="14855" max="14855" width="20.28515625" style="135" customWidth="1"/>
    <col min="14856" max="14856" width="43.42578125" style="135" bestFit="1" customWidth="1"/>
    <col min="14857" max="14857" width="8.7109375" style="135" customWidth="1"/>
    <col min="14858" max="14858" width="2.7109375" style="135" customWidth="1"/>
    <col min="14859" max="14859" width="9.140625" style="135" bestFit="1" customWidth="1"/>
    <col min="14860" max="14860" width="7.7109375" style="135" bestFit="1" customWidth="1"/>
    <col min="14861" max="14861" width="7.5703125" style="135" bestFit="1" customWidth="1"/>
    <col min="14862" max="14862" width="2.7109375" style="135" customWidth="1"/>
    <col min="14863" max="14863" width="7.5703125" style="135" bestFit="1" customWidth="1"/>
    <col min="14864" max="14864" width="7.7109375" style="135" bestFit="1" customWidth="1"/>
    <col min="14865" max="14865" width="7.5703125" style="135" bestFit="1" customWidth="1"/>
    <col min="14866" max="15110" width="8.85546875" style="135"/>
    <col min="15111" max="15111" width="20.28515625" style="135" customWidth="1"/>
    <col min="15112" max="15112" width="43.42578125" style="135" bestFit="1" customWidth="1"/>
    <col min="15113" max="15113" width="8.7109375" style="135" customWidth="1"/>
    <col min="15114" max="15114" width="2.7109375" style="135" customWidth="1"/>
    <col min="15115" max="15115" width="9.140625" style="135" bestFit="1" customWidth="1"/>
    <col min="15116" max="15116" width="7.7109375" style="135" bestFit="1" customWidth="1"/>
    <col min="15117" max="15117" width="7.5703125" style="135" bestFit="1" customWidth="1"/>
    <col min="15118" max="15118" width="2.7109375" style="135" customWidth="1"/>
    <col min="15119" max="15119" width="7.5703125" style="135" bestFit="1" customWidth="1"/>
    <col min="15120" max="15120" width="7.7109375" style="135" bestFit="1" customWidth="1"/>
    <col min="15121" max="15121" width="7.5703125" style="135" bestFit="1" customWidth="1"/>
    <col min="15122" max="15366" width="8.85546875" style="135"/>
    <col min="15367" max="15367" width="20.28515625" style="135" customWidth="1"/>
    <col min="15368" max="15368" width="43.42578125" style="135" bestFit="1" customWidth="1"/>
    <col min="15369" max="15369" width="8.7109375" style="135" customWidth="1"/>
    <col min="15370" max="15370" width="2.7109375" style="135" customWidth="1"/>
    <col min="15371" max="15371" width="9.140625" style="135" bestFit="1" customWidth="1"/>
    <col min="15372" max="15372" width="7.7109375" style="135" bestFit="1" customWidth="1"/>
    <col min="15373" max="15373" width="7.5703125" style="135" bestFit="1" customWidth="1"/>
    <col min="15374" max="15374" width="2.7109375" style="135" customWidth="1"/>
    <col min="15375" max="15375" width="7.5703125" style="135" bestFit="1" customWidth="1"/>
    <col min="15376" max="15376" width="7.7109375" style="135" bestFit="1" customWidth="1"/>
    <col min="15377" max="15377" width="7.5703125" style="135" bestFit="1" customWidth="1"/>
    <col min="15378" max="15622" width="8.85546875" style="135"/>
    <col min="15623" max="15623" width="20.28515625" style="135" customWidth="1"/>
    <col min="15624" max="15624" width="43.42578125" style="135" bestFit="1" customWidth="1"/>
    <col min="15625" max="15625" width="8.7109375" style="135" customWidth="1"/>
    <col min="15626" max="15626" width="2.7109375" style="135" customWidth="1"/>
    <col min="15627" max="15627" width="9.140625" style="135" bestFit="1" customWidth="1"/>
    <col min="15628" max="15628" width="7.7109375" style="135" bestFit="1" customWidth="1"/>
    <col min="15629" max="15629" width="7.5703125" style="135" bestFit="1" customWidth="1"/>
    <col min="15630" max="15630" width="2.7109375" style="135" customWidth="1"/>
    <col min="15631" max="15631" width="7.5703125" style="135" bestFit="1" customWidth="1"/>
    <col min="15632" max="15632" width="7.7109375" style="135" bestFit="1" customWidth="1"/>
    <col min="15633" max="15633" width="7.5703125" style="135" bestFit="1" customWidth="1"/>
    <col min="15634" max="15878" width="8.85546875" style="135"/>
    <col min="15879" max="15879" width="20.28515625" style="135" customWidth="1"/>
    <col min="15880" max="15880" width="43.42578125" style="135" bestFit="1" customWidth="1"/>
    <col min="15881" max="15881" width="8.7109375" style="135" customWidth="1"/>
    <col min="15882" max="15882" width="2.7109375" style="135" customWidth="1"/>
    <col min="15883" max="15883" width="9.140625" style="135" bestFit="1" customWidth="1"/>
    <col min="15884" max="15884" width="7.7109375" style="135" bestFit="1" customWidth="1"/>
    <col min="15885" max="15885" width="7.5703125" style="135" bestFit="1" customWidth="1"/>
    <col min="15886" max="15886" width="2.7109375" style="135" customWidth="1"/>
    <col min="15887" max="15887" width="7.5703125" style="135" bestFit="1" customWidth="1"/>
    <col min="15888" max="15888" width="7.7109375" style="135" bestFit="1" customWidth="1"/>
    <col min="15889" max="15889" width="7.5703125" style="135" bestFit="1" customWidth="1"/>
    <col min="15890" max="16134" width="8.85546875" style="135"/>
    <col min="16135" max="16135" width="20.28515625" style="135" customWidth="1"/>
    <col min="16136" max="16136" width="43.42578125" style="135" bestFit="1" customWidth="1"/>
    <col min="16137" max="16137" width="8.7109375" style="135" customWidth="1"/>
    <col min="16138" max="16138" width="2.7109375" style="135" customWidth="1"/>
    <col min="16139" max="16139" width="9.140625" style="135" bestFit="1" customWidth="1"/>
    <col min="16140" max="16140" width="7.7109375" style="135" bestFit="1" customWidth="1"/>
    <col min="16141" max="16141" width="7.5703125" style="135" bestFit="1" customWidth="1"/>
    <col min="16142" max="16142" width="2.7109375" style="135" customWidth="1"/>
    <col min="16143" max="16143" width="7.5703125" style="135" bestFit="1" customWidth="1"/>
    <col min="16144" max="16144" width="7.7109375" style="135" bestFit="1" customWidth="1"/>
    <col min="16145" max="16145" width="7.5703125" style="135" bestFit="1" customWidth="1"/>
    <col min="16146" max="16384" width="8.85546875" style="135"/>
  </cols>
  <sheetData>
    <row r="1" spans="1:52" ht="28.5" x14ac:dyDescent="0.45">
      <c r="A1" s="109" t="s">
        <v>91</v>
      </c>
    </row>
    <row r="2" spans="1:52" ht="15.75" x14ac:dyDescent="0.25">
      <c r="A2" s="229" t="s">
        <v>92</v>
      </c>
      <c r="B2" s="229" t="s">
        <v>93</v>
      </c>
      <c r="C2" s="229" t="s">
        <v>2</v>
      </c>
      <c r="D2" s="229" t="s">
        <v>94</v>
      </c>
      <c r="F2" s="226" t="s">
        <v>95</v>
      </c>
      <c r="G2" s="227"/>
      <c r="H2" s="228"/>
      <c r="J2" s="226" t="s">
        <v>96</v>
      </c>
      <c r="K2" s="227"/>
      <c r="L2" s="228"/>
      <c r="N2" s="226" t="s">
        <v>525</v>
      </c>
      <c r="O2" s="227"/>
      <c r="P2" s="228"/>
      <c r="R2" s="226" t="s">
        <v>530</v>
      </c>
      <c r="S2" s="227"/>
      <c r="T2" s="228"/>
      <c r="V2" s="226" t="s">
        <v>38</v>
      </c>
      <c r="W2" s="227"/>
      <c r="X2" s="228"/>
      <c r="Z2" s="226" t="s">
        <v>609</v>
      </c>
      <c r="AA2" s="227"/>
      <c r="AB2" s="228"/>
      <c r="AD2" s="226" t="s">
        <v>644</v>
      </c>
      <c r="AE2" s="227"/>
      <c r="AF2" s="228"/>
      <c r="AH2" s="226" t="s">
        <v>665</v>
      </c>
      <c r="AI2" s="227"/>
      <c r="AJ2" s="228"/>
      <c r="AL2" s="226" t="s">
        <v>666</v>
      </c>
      <c r="AM2" s="227"/>
      <c r="AN2" s="228"/>
      <c r="AP2" s="226" t="s">
        <v>667</v>
      </c>
      <c r="AQ2" s="227"/>
      <c r="AR2" s="228"/>
      <c r="AT2" s="226" t="s">
        <v>668</v>
      </c>
      <c r="AU2" s="227"/>
      <c r="AV2" s="228"/>
      <c r="AX2" s="226" t="s">
        <v>669</v>
      </c>
      <c r="AY2" s="227"/>
      <c r="AZ2" s="228"/>
    </row>
    <row r="3" spans="1:52" s="136" customFormat="1" ht="15.75" x14ac:dyDescent="0.25">
      <c r="A3" s="229"/>
      <c r="B3" s="229"/>
      <c r="C3" s="229"/>
      <c r="D3" s="229"/>
      <c r="E3" s="134"/>
      <c r="F3" s="119" t="s">
        <v>61</v>
      </c>
      <c r="G3" s="119" t="s">
        <v>62</v>
      </c>
      <c r="H3" s="119" t="s">
        <v>63</v>
      </c>
      <c r="I3" s="134"/>
      <c r="J3" s="119" t="s">
        <v>61</v>
      </c>
      <c r="K3" s="119" t="s">
        <v>62</v>
      </c>
      <c r="L3" s="119" t="s">
        <v>63</v>
      </c>
      <c r="M3" s="134"/>
      <c r="N3" s="119" t="s">
        <v>61</v>
      </c>
      <c r="O3" s="119" t="s">
        <v>62</v>
      </c>
      <c r="P3" s="119" t="s">
        <v>63</v>
      </c>
      <c r="Q3" s="134"/>
      <c r="R3" s="119" t="s">
        <v>61</v>
      </c>
      <c r="S3" s="119" t="s">
        <v>62</v>
      </c>
      <c r="T3" s="119" t="s">
        <v>63</v>
      </c>
      <c r="U3" s="134"/>
      <c r="V3" s="119" t="s">
        <v>61</v>
      </c>
      <c r="W3" s="119" t="s">
        <v>62</v>
      </c>
      <c r="X3" s="119" t="s">
        <v>63</v>
      </c>
      <c r="Z3" s="119" t="s">
        <v>61</v>
      </c>
      <c r="AA3" s="119" t="s">
        <v>62</v>
      </c>
      <c r="AB3" s="119" t="s">
        <v>63</v>
      </c>
      <c r="AD3" s="119" t="s">
        <v>61</v>
      </c>
      <c r="AE3" s="119" t="s">
        <v>62</v>
      </c>
      <c r="AF3" s="119" t="s">
        <v>63</v>
      </c>
      <c r="AH3" s="119" t="s">
        <v>61</v>
      </c>
      <c r="AI3" s="119" t="s">
        <v>62</v>
      </c>
      <c r="AJ3" s="119" t="s">
        <v>63</v>
      </c>
      <c r="AK3" s="110"/>
      <c r="AL3" s="119" t="s">
        <v>61</v>
      </c>
      <c r="AM3" s="119" t="s">
        <v>62</v>
      </c>
      <c r="AN3" s="119" t="s">
        <v>63</v>
      </c>
      <c r="AP3" s="119" t="s">
        <v>61</v>
      </c>
      <c r="AQ3" s="119" t="s">
        <v>62</v>
      </c>
      <c r="AR3" s="119" t="s">
        <v>63</v>
      </c>
      <c r="AT3" s="119" t="s">
        <v>61</v>
      </c>
      <c r="AU3" s="119" t="s">
        <v>62</v>
      </c>
      <c r="AV3" s="119" t="s">
        <v>63</v>
      </c>
      <c r="AX3" s="119" t="s">
        <v>61</v>
      </c>
      <c r="AY3" s="119" t="s">
        <v>62</v>
      </c>
      <c r="AZ3" s="119" t="s">
        <v>63</v>
      </c>
    </row>
    <row r="4" spans="1:52" x14ac:dyDescent="0.25">
      <c r="A4" s="113">
        <v>1</v>
      </c>
      <c r="B4" s="125" t="s">
        <v>97</v>
      </c>
      <c r="C4" s="125" t="s">
        <v>98</v>
      </c>
      <c r="D4" s="113" t="s">
        <v>60</v>
      </c>
      <c r="F4" s="115">
        <v>8760</v>
      </c>
      <c r="G4" s="115">
        <v>0</v>
      </c>
      <c r="H4" s="115">
        <v>0</v>
      </c>
      <c r="J4" s="115">
        <v>9000</v>
      </c>
      <c r="K4" s="115">
        <v>0</v>
      </c>
      <c r="L4" s="115">
        <v>0</v>
      </c>
      <c r="N4" s="115">
        <v>9060</v>
      </c>
      <c r="O4" s="115">
        <v>0</v>
      </c>
      <c r="P4" s="115">
        <v>0</v>
      </c>
      <c r="R4" s="115">
        <v>5370</v>
      </c>
      <c r="S4" s="115">
        <v>0</v>
      </c>
      <c r="T4" s="115">
        <v>0</v>
      </c>
      <c r="V4" s="115">
        <v>9120</v>
      </c>
      <c r="W4" s="115">
        <v>0</v>
      </c>
      <c r="X4" s="115">
        <v>0</v>
      </c>
      <c r="Z4" s="169">
        <v>7620</v>
      </c>
      <c r="AA4" s="169">
        <v>0</v>
      </c>
      <c r="AB4" s="169">
        <v>0</v>
      </c>
      <c r="AC4" s="136">
        <v>1</v>
      </c>
      <c r="AD4" s="169">
        <f>VLOOKUP(B4,[4]PCS!$D$1:$E$65536,2,0)</f>
        <v>8297</v>
      </c>
      <c r="AE4" s="169">
        <f>VLOOKUP(B4,[4]PCS!$D$1:$F$65536,3,0)</f>
        <v>0</v>
      </c>
      <c r="AF4" s="169">
        <f>VLOOKUP(B4,[4]PCS!$D$1:$G$65536,4,0)</f>
        <v>0</v>
      </c>
      <c r="AG4" s="136">
        <v>1</v>
      </c>
      <c r="AH4" s="169">
        <f>VLOOKUP(C4,[5]Sheet1!$C$1:$D$65536,2,0)</f>
        <v>8263</v>
      </c>
      <c r="AI4" s="169">
        <f>VLOOKUP(C4,[5]Sheet1!$C$1:$F$65536,3,0)</f>
        <v>0</v>
      </c>
      <c r="AJ4" s="169">
        <f>VLOOKUP(C4,[5]Sheet1!$C$1:$F$65536,4,0)</f>
        <v>0</v>
      </c>
      <c r="AK4" s="175"/>
      <c r="AL4" s="169"/>
      <c r="AM4" s="169"/>
      <c r="AN4" s="169"/>
      <c r="AP4" s="169"/>
      <c r="AQ4" s="169"/>
      <c r="AR4" s="169"/>
      <c r="AT4" s="169"/>
      <c r="AU4" s="169"/>
      <c r="AV4" s="169"/>
      <c r="AX4" s="169"/>
      <c r="AY4" s="169"/>
      <c r="AZ4" s="169"/>
    </row>
    <row r="5" spans="1:52" x14ac:dyDescent="0.25">
      <c r="A5" s="113">
        <v>2</v>
      </c>
      <c r="B5" s="125" t="s">
        <v>99</v>
      </c>
      <c r="C5" s="125" t="s">
        <v>100</v>
      </c>
      <c r="D5" s="113" t="s">
        <v>60</v>
      </c>
      <c r="F5" s="115">
        <v>8400</v>
      </c>
      <c r="G5" s="115">
        <v>0</v>
      </c>
      <c r="H5" s="115">
        <v>0</v>
      </c>
      <c r="J5" s="115">
        <v>8600</v>
      </c>
      <c r="K5" s="115">
        <v>0</v>
      </c>
      <c r="L5" s="115">
        <v>0</v>
      </c>
      <c r="N5" s="115">
        <v>9000</v>
      </c>
      <c r="O5" s="115">
        <v>0</v>
      </c>
      <c r="P5" s="115">
        <v>0</v>
      </c>
      <c r="R5" s="115">
        <v>6680</v>
      </c>
      <c r="S5" s="115">
        <v>0</v>
      </c>
      <c r="T5" s="115">
        <v>0</v>
      </c>
      <c r="V5" s="115">
        <v>9100</v>
      </c>
      <c r="W5" s="115">
        <v>0</v>
      </c>
      <c r="X5" s="115">
        <v>0</v>
      </c>
      <c r="Z5" s="169">
        <v>7218</v>
      </c>
      <c r="AA5" s="169">
        <v>0</v>
      </c>
      <c r="AB5" s="169">
        <v>0</v>
      </c>
      <c r="AC5" s="136">
        <v>1</v>
      </c>
      <c r="AD5" s="169">
        <f>VLOOKUP(B5,[4]PCS!$D$1:$E$65536,2,0)</f>
        <v>7950</v>
      </c>
      <c r="AE5" s="169">
        <f>VLOOKUP(B5,[4]PCS!$D$1:$F$65536,3,0)</f>
        <v>0</v>
      </c>
      <c r="AF5" s="169">
        <f>VLOOKUP(B5,[4]PCS!$D$1:$G$65536,4,0)</f>
        <v>0</v>
      </c>
      <c r="AG5" s="136">
        <v>1</v>
      </c>
      <c r="AH5" s="169">
        <f>VLOOKUP(C5,[5]Sheet1!$C$1:$D$65536,2,0)</f>
        <v>8255</v>
      </c>
      <c r="AI5" s="169">
        <f>VLOOKUP(C5,[5]Sheet1!$C$1:$F$65536,3,0)</f>
        <v>0</v>
      </c>
      <c r="AJ5" s="169">
        <f>VLOOKUP(C5,[5]Sheet1!$C$1:$F$65536,4,0)</f>
        <v>0</v>
      </c>
      <c r="AK5" s="175"/>
      <c r="AL5" s="169"/>
      <c r="AM5" s="169"/>
      <c r="AN5" s="169"/>
      <c r="AP5" s="169"/>
      <c r="AQ5" s="169"/>
      <c r="AR5" s="169"/>
      <c r="AT5" s="169"/>
      <c r="AU5" s="169"/>
      <c r="AV5" s="169"/>
      <c r="AX5" s="169"/>
      <c r="AY5" s="169"/>
      <c r="AZ5" s="169"/>
    </row>
    <row r="6" spans="1:52" x14ac:dyDescent="0.25">
      <c r="A6" s="113">
        <v>3</v>
      </c>
      <c r="B6" s="125" t="s">
        <v>101</v>
      </c>
      <c r="C6" s="125" t="s">
        <v>102</v>
      </c>
      <c r="D6" s="113" t="s">
        <v>60</v>
      </c>
      <c r="F6" s="115">
        <v>8400</v>
      </c>
      <c r="G6" s="115">
        <v>0</v>
      </c>
      <c r="H6" s="115">
        <v>0</v>
      </c>
      <c r="J6" s="115">
        <v>8600</v>
      </c>
      <c r="K6" s="115">
        <v>0</v>
      </c>
      <c r="L6" s="115">
        <v>0</v>
      </c>
      <c r="N6" s="115">
        <v>9000</v>
      </c>
      <c r="O6" s="115">
        <v>0</v>
      </c>
      <c r="P6" s="115">
        <v>0</v>
      </c>
      <c r="R6" s="115">
        <v>6680</v>
      </c>
      <c r="S6" s="115">
        <v>0</v>
      </c>
      <c r="T6" s="115">
        <v>0</v>
      </c>
      <c r="V6" s="115">
        <v>9100</v>
      </c>
      <c r="W6" s="115">
        <v>0</v>
      </c>
      <c r="X6" s="115">
        <v>0</v>
      </c>
      <c r="Z6" s="169">
        <v>7218</v>
      </c>
      <c r="AA6" s="169">
        <v>0</v>
      </c>
      <c r="AB6" s="169">
        <v>0</v>
      </c>
      <c r="AC6" s="136">
        <v>1</v>
      </c>
      <c r="AD6" s="169">
        <f>VLOOKUP(B6,[4]PCS!$D$1:$E$65536,2,0)</f>
        <v>7950</v>
      </c>
      <c r="AE6" s="169">
        <f>VLOOKUP(B6,[4]PCS!$D$1:$F$65536,3,0)</f>
        <v>0</v>
      </c>
      <c r="AF6" s="169">
        <f>VLOOKUP(B6,[4]PCS!$D$1:$G$65536,4,0)</f>
        <v>0</v>
      </c>
      <c r="AG6" s="136">
        <v>1</v>
      </c>
      <c r="AH6" s="169">
        <f>VLOOKUP(C6,[5]Sheet1!$C$1:$D$65536,2,0)</f>
        <v>8255</v>
      </c>
      <c r="AI6" s="169">
        <f>VLOOKUP(C6,[5]Sheet1!$C$1:$F$65536,3,0)</f>
        <v>0</v>
      </c>
      <c r="AJ6" s="169">
        <f>VLOOKUP(C6,[5]Sheet1!$C$1:$F$65536,4,0)</f>
        <v>0</v>
      </c>
      <c r="AK6" s="175"/>
      <c r="AL6" s="169"/>
      <c r="AM6" s="169"/>
      <c r="AN6" s="169"/>
      <c r="AP6" s="169"/>
      <c r="AQ6" s="169"/>
      <c r="AR6" s="169"/>
      <c r="AT6" s="169"/>
      <c r="AU6" s="169"/>
      <c r="AV6" s="169"/>
      <c r="AX6" s="169"/>
      <c r="AY6" s="169"/>
      <c r="AZ6" s="169"/>
    </row>
    <row r="7" spans="1:52" x14ac:dyDescent="0.25">
      <c r="A7" s="113">
        <v>4</v>
      </c>
      <c r="B7" s="125" t="s">
        <v>103</v>
      </c>
      <c r="C7" s="125" t="s">
        <v>104</v>
      </c>
      <c r="D7" s="113" t="s">
        <v>60</v>
      </c>
      <c r="F7" s="115">
        <v>11700</v>
      </c>
      <c r="G7" s="115">
        <v>0</v>
      </c>
      <c r="H7" s="115">
        <v>0</v>
      </c>
      <c r="J7" s="115">
        <v>13710</v>
      </c>
      <c r="K7" s="115">
        <v>0</v>
      </c>
      <c r="L7" s="115">
        <v>0</v>
      </c>
      <c r="N7" s="115">
        <v>10500</v>
      </c>
      <c r="O7" s="115">
        <v>0</v>
      </c>
      <c r="P7" s="115">
        <v>0</v>
      </c>
      <c r="R7" s="115">
        <v>8080</v>
      </c>
      <c r="S7" s="115">
        <v>0</v>
      </c>
      <c r="T7" s="115">
        <v>0</v>
      </c>
      <c r="V7" s="115">
        <v>15199</v>
      </c>
      <c r="W7" s="115">
        <v>51</v>
      </c>
      <c r="X7" s="115">
        <v>0</v>
      </c>
      <c r="Z7" s="169"/>
      <c r="AA7" s="169"/>
      <c r="AB7" s="169"/>
      <c r="AC7" s="136">
        <v>1</v>
      </c>
      <c r="AD7" s="169"/>
      <c r="AE7" s="169"/>
      <c r="AF7" s="169"/>
      <c r="AG7" s="136">
        <v>1</v>
      </c>
      <c r="AH7" s="169"/>
      <c r="AI7" s="169"/>
      <c r="AJ7" s="169"/>
      <c r="AK7" s="175"/>
      <c r="AL7" s="169"/>
      <c r="AM7" s="169"/>
      <c r="AN7" s="169"/>
      <c r="AP7" s="169"/>
      <c r="AQ7" s="169"/>
      <c r="AR7" s="169"/>
      <c r="AT7" s="169"/>
      <c r="AU7" s="169"/>
      <c r="AV7" s="169"/>
      <c r="AX7" s="169"/>
      <c r="AY7" s="169"/>
      <c r="AZ7" s="169"/>
    </row>
    <row r="8" spans="1:52" x14ac:dyDescent="0.25">
      <c r="A8" s="113">
        <v>5</v>
      </c>
      <c r="B8" s="125" t="s">
        <v>105</v>
      </c>
      <c r="C8" s="125" t="s">
        <v>106</v>
      </c>
      <c r="D8" s="113" t="s">
        <v>60</v>
      </c>
      <c r="F8" s="115">
        <v>11150</v>
      </c>
      <c r="G8" s="115">
        <v>0</v>
      </c>
      <c r="H8" s="115">
        <v>0</v>
      </c>
      <c r="J8" s="115">
        <v>12900</v>
      </c>
      <c r="K8" s="115">
        <v>0</v>
      </c>
      <c r="L8" s="115">
        <v>0</v>
      </c>
      <c r="N8" s="115">
        <v>9000</v>
      </c>
      <c r="O8" s="115">
        <v>0</v>
      </c>
      <c r="P8" s="115">
        <v>0</v>
      </c>
      <c r="R8" s="115">
        <v>8300</v>
      </c>
      <c r="S8" s="115">
        <v>0</v>
      </c>
      <c r="T8" s="115">
        <v>0</v>
      </c>
      <c r="V8" s="115">
        <v>14050</v>
      </c>
      <c r="W8" s="115">
        <v>0</v>
      </c>
      <c r="X8" s="115">
        <v>0</v>
      </c>
      <c r="Z8" s="169">
        <v>11740</v>
      </c>
      <c r="AA8" s="169">
        <v>0</v>
      </c>
      <c r="AB8" s="169">
        <v>0</v>
      </c>
      <c r="AC8" s="136">
        <v>1</v>
      </c>
      <c r="AD8" s="169">
        <f>VLOOKUP(B8,[4]PCS!$D$1:$E$65536,2,0)</f>
        <v>11145</v>
      </c>
      <c r="AE8" s="169">
        <f>VLOOKUP(B8,[4]PCS!$D$1:$F$65536,3,0)</f>
        <v>0</v>
      </c>
      <c r="AF8" s="169">
        <f>VLOOKUP(B8,[4]PCS!$D$1:$G$65536,4,0)</f>
        <v>0</v>
      </c>
      <c r="AG8" s="136">
        <v>1</v>
      </c>
      <c r="AH8" s="169">
        <f>VLOOKUP(C8,[5]Sheet1!$C$1:$D$65536,2,0)</f>
        <v>6474</v>
      </c>
      <c r="AI8" s="169">
        <f>VLOOKUP(C8,[5]Sheet1!$C$1:$F$65536,3,0)</f>
        <v>0</v>
      </c>
      <c r="AJ8" s="169">
        <f>VLOOKUP(C8,[5]Sheet1!$C$1:$F$65536,4,0)</f>
        <v>0</v>
      </c>
      <c r="AK8" s="175"/>
      <c r="AL8" s="169"/>
      <c r="AM8" s="169"/>
      <c r="AN8" s="169"/>
      <c r="AP8" s="169"/>
      <c r="AQ8" s="169"/>
      <c r="AR8" s="169"/>
      <c r="AT8" s="169"/>
      <c r="AU8" s="169"/>
      <c r="AV8" s="169"/>
      <c r="AX8" s="169"/>
      <c r="AY8" s="169"/>
      <c r="AZ8" s="169"/>
    </row>
    <row r="9" spans="1:52" x14ac:dyDescent="0.25">
      <c r="A9" s="113">
        <v>6</v>
      </c>
      <c r="B9" s="125" t="s">
        <v>107</v>
      </c>
      <c r="C9" s="125" t="s">
        <v>108</v>
      </c>
      <c r="D9" s="113" t="s">
        <v>60</v>
      </c>
      <c r="F9" s="115">
        <v>11150</v>
      </c>
      <c r="G9" s="115">
        <v>0</v>
      </c>
      <c r="H9" s="115">
        <v>0</v>
      </c>
      <c r="J9" s="115">
        <v>12900</v>
      </c>
      <c r="K9" s="115">
        <v>0</v>
      </c>
      <c r="L9" s="115">
        <v>0</v>
      </c>
      <c r="N9" s="115">
        <v>9000</v>
      </c>
      <c r="O9" s="115">
        <v>0</v>
      </c>
      <c r="P9" s="115">
        <v>0</v>
      </c>
      <c r="R9" s="115">
        <v>8300</v>
      </c>
      <c r="S9" s="115">
        <v>0</v>
      </c>
      <c r="T9" s="115">
        <v>0</v>
      </c>
      <c r="V9" s="115">
        <v>14050</v>
      </c>
      <c r="W9" s="115">
        <v>0</v>
      </c>
      <c r="X9" s="115">
        <v>0</v>
      </c>
      <c r="Z9" s="169">
        <v>11740</v>
      </c>
      <c r="AA9" s="169">
        <v>0</v>
      </c>
      <c r="AB9" s="169">
        <v>0</v>
      </c>
      <c r="AC9" s="136">
        <v>1</v>
      </c>
      <c r="AD9" s="169">
        <f>VLOOKUP(B9,[4]PCS!$D$1:$E$65536,2,0)</f>
        <v>11150</v>
      </c>
      <c r="AE9" s="169">
        <f>VLOOKUP(B9,[4]PCS!$D$1:$F$65536,3,0)</f>
        <v>0</v>
      </c>
      <c r="AF9" s="169">
        <f>VLOOKUP(B9,[4]PCS!$D$1:$G$65536,4,0)</f>
        <v>0</v>
      </c>
      <c r="AG9" s="136">
        <v>1</v>
      </c>
      <c r="AH9" s="169">
        <f>VLOOKUP(C9,[5]Sheet1!$C$1:$D$65536,2,0)</f>
        <v>13074</v>
      </c>
      <c r="AI9" s="169">
        <f>VLOOKUP(C9,[5]Sheet1!$C$1:$F$65536,3,0)</f>
        <v>0</v>
      </c>
      <c r="AJ9" s="169">
        <f>VLOOKUP(C9,[5]Sheet1!$C$1:$F$65536,4,0)</f>
        <v>0</v>
      </c>
      <c r="AK9" s="175"/>
      <c r="AL9" s="169"/>
      <c r="AM9" s="169"/>
      <c r="AN9" s="169"/>
      <c r="AP9" s="169"/>
      <c r="AQ9" s="169"/>
      <c r="AR9" s="169"/>
      <c r="AT9" s="169"/>
      <c r="AU9" s="169"/>
      <c r="AV9" s="169"/>
      <c r="AX9" s="169"/>
      <c r="AY9" s="169"/>
      <c r="AZ9" s="169"/>
    </row>
    <row r="10" spans="1:52" x14ac:dyDescent="0.25">
      <c r="A10" s="113">
        <v>7</v>
      </c>
      <c r="B10" s="125" t="s">
        <v>109</v>
      </c>
      <c r="C10" s="125" t="s">
        <v>110</v>
      </c>
      <c r="D10" s="113" t="s">
        <v>60</v>
      </c>
      <c r="F10" s="115">
        <v>13050</v>
      </c>
      <c r="G10" s="115">
        <v>0</v>
      </c>
      <c r="H10" s="115">
        <v>0</v>
      </c>
      <c r="J10" s="115">
        <v>13200</v>
      </c>
      <c r="K10" s="115">
        <v>0</v>
      </c>
      <c r="L10" s="115">
        <v>0</v>
      </c>
      <c r="N10" s="115">
        <v>11850</v>
      </c>
      <c r="O10" s="115">
        <v>0</v>
      </c>
      <c r="P10" s="115">
        <v>0</v>
      </c>
      <c r="R10" s="115">
        <v>6700</v>
      </c>
      <c r="S10" s="115">
        <v>0</v>
      </c>
      <c r="T10" s="115">
        <v>0</v>
      </c>
      <c r="V10" s="115">
        <v>14170</v>
      </c>
      <c r="W10" s="115">
        <v>0</v>
      </c>
      <c r="X10" s="115">
        <v>18</v>
      </c>
      <c r="Z10" s="169">
        <v>12084</v>
      </c>
      <c r="AA10" s="169">
        <v>0</v>
      </c>
      <c r="AB10" s="169">
        <v>0</v>
      </c>
      <c r="AC10" s="136">
        <v>1</v>
      </c>
      <c r="AD10" s="169">
        <f>VLOOKUP(B10,[4]PCS!$D$1:$E$65536,2,0)</f>
        <v>12830</v>
      </c>
      <c r="AE10" s="169">
        <f>VLOOKUP(B10,[4]PCS!$D$1:$F$65536,3,0)</f>
        <v>0</v>
      </c>
      <c r="AF10" s="169">
        <f>VLOOKUP(B10,[4]PCS!$D$1:$G$65536,4,0)</f>
        <v>0</v>
      </c>
      <c r="AG10" s="136">
        <v>1</v>
      </c>
      <c r="AH10" s="169">
        <f>VLOOKUP(C10,[5]Sheet1!$C$1:$D$65536,2,0)</f>
        <v>14820</v>
      </c>
      <c r="AI10" s="169">
        <f>VLOOKUP(C10,[5]Sheet1!$C$1:$F$65536,3,0)</f>
        <v>0</v>
      </c>
      <c r="AJ10" s="169">
        <f>VLOOKUP(C10,[5]Sheet1!$C$1:$F$65536,4,0)</f>
        <v>1</v>
      </c>
      <c r="AK10" s="175"/>
      <c r="AL10" s="169"/>
      <c r="AM10" s="169"/>
      <c r="AN10" s="169"/>
      <c r="AP10" s="169"/>
      <c r="AQ10" s="169"/>
      <c r="AR10" s="169"/>
      <c r="AT10" s="169"/>
      <c r="AU10" s="169"/>
      <c r="AV10" s="169"/>
      <c r="AX10" s="169"/>
      <c r="AY10" s="169"/>
      <c r="AZ10" s="169"/>
    </row>
    <row r="11" spans="1:52" x14ac:dyDescent="0.25">
      <c r="A11" s="113">
        <v>8</v>
      </c>
      <c r="B11" s="125" t="s">
        <v>111</v>
      </c>
      <c r="C11" s="125" t="s">
        <v>112</v>
      </c>
      <c r="D11" s="113" t="s">
        <v>60</v>
      </c>
      <c r="F11" s="115">
        <v>746</v>
      </c>
      <c r="G11" s="115">
        <v>127</v>
      </c>
      <c r="H11" s="115">
        <v>14</v>
      </c>
      <c r="J11" s="115">
        <v>708</v>
      </c>
      <c r="K11" s="115">
        <v>189</v>
      </c>
      <c r="L11" s="115">
        <v>1</v>
      </c>
      <c r="N11" s="115">
        <v>668</v>
      </c>
      <c r="O11" s="115">
        <v>101</v>
      </c>
      <c r="P11" s="115">
        <v>0</v>
      </c>
      <c r="R11" s="115">
        <v>578</v>
      </c>
      <c r="S11" s="115">
        <v>259</v>
      </c>
      <c r="T11" s="115">
        <v>0</v>
      </c>
      <c r="V11" s="115">
        <v>1017</v>
      </c>
      <c r="W11" s="115">
        <v>443</v>
      </c>
      <c r="X11" s="115">
        <v>0</v>
      </c>
      <c r="Z11" s="169">
        <v>1182</v>
      </c>
      <c r="AA11" s="169">
        <v>619</v>
      </c>
      <c r="AB11" s="169">
        <v>0</v>
      </c>
      <c r="AC11" s="136">
        <v>1</v>
      </c>
      <c r="AD11" s="169">
        <f>VLOOKUP(B11,[4]PCS!$D$1:$E$65536,2,0)</f>
        <v>637</v>
      </c>
      <c r="AE11" s="169">
        <f>VLOOKUP(B11,[4]PCS!$D$1:$F$65536,3,0)</f>
        <v>143</v>
      </c>
      <c r="AF11" s="169">
        <f>VLOOKUP(B11,[4]PCS!$D$1:$G$65536,4,0)</f>
        <v>0</v>
      </c>
      <c r="AG11" s="136">
        <v>1</v>
      </c>
      <c r="AH11" s="169">
        <f>VLOOKUP(C11,[5]Sheet1!$C$1:$D$65536,2,0)</f>
        <v>721</v>
      </c>
      <c r="AI11" s="169">
        <f>VLOOKUP(C11,[5]Sheet1!$C$1:$F$65536,3,0)</f>
        <v>0</v>
      </c>
      <c r="AJ11" s="169">
        <f>VLOOKUP(C11,[5]Sheet1!$C$1:$F$65536,4,0)</f>
        <v>21</v>
      </c>
      <c r="AK11" s="175"/>
      <c r="AL11" s="169"/>
      <c r="AM11" s="169"/>
      <c r="AN11" s="169"/>
      <c r="AP11" s="169"/>
      <c r="AQ11" s="169"/>
      <c r="AR11" s="169"/>
      <c r="AT11" s="169"/>
      <c r="AU11" s="169"/>
      <c r="AV11" s="169"/>
      <c r="AX11" s="169"/>
      <c r="AY11" s="169"/>
      <c r="AZ11" s="169"/>
    </row>
    <row r="12" spans="1:52" x14ac:dyDescent="0.25">
      <c r="A12" s="113">
        <v>9</v>
      </c>
      <c r="B12" s="125" t="s">
        <v>113</v>
      </c>
      <c r="C12" s="125" t="s">
        <v>114</v>
      </c>
      <c r="D12" s="113" t="s">
        <v>60</v>
      </c>
      <c r="F12" s="115">
        <v>117</v>
      </c>
      <c r="G12" s="115">
        <v>3</v>
      </c>
      <c r="H12" s="115">
        <v>0</v>
      </c>
      <c r="J12" s="115">
        <v>38</v>
      </c>
      <c r="K12" s="115">
        <v>22</v>
      </c>
      <c r="L12" s="115">
        <v>0</v>
      </c>
      <c r="N12" s="115"/>
      <c r="O12" s="115"/>
      <c r="P12" s="115"/>
      <c r="R12" s="115">
        <v>141</v>
      </c>
      <c r="S12" s="115">
        <v>39</v>
      </c>
      <c r="T12" s="115">
        <v>0</v>
      </c>
      <c r="V12" s="115"/>
      <c r="W12" s="115"/>
      <c r="X12" s="115"/>
      <c r="Z12" s="169">
        <v>694</v>
      </c>
      <c r="AA12" s="169">
        <v>280</v>
      </c>
      <c r="AB12" s="169">
        <v>0</v>
      </c>
      <c r="AC12" s="136">
        <v>1</v>
      </c>
      <c r="AD12" s="169">
        <f>VLOOKUP(B12,[4]PCS!$D$1:$E$65536,2,0)</f>
        <v>2174</v>
      </c>
      <c r="AE12" s="169">
        <f>VLOOKUP(B12,[4]PCS!$D$1:$F$65536,3,0)</f>
        <v>204</v>
      </c>
      <c r="AF12" s="169">
        <f>VLOOKUP(B12,[4]PCS!$D$1:$G$65536,4,0)</f>
        <v>0</v>
      </c>
      <c r="AG12" s="136">
        <v>1</v>
      </c>
      <c r="AH12" s="169">
        <f>VLOOKUP(C12,[5]Sheet1!$C$1:$D$65536,2,0)</f>
        <v>1800</v>
      </c>
      <c r="AI12" s="169">
        <f>VLOOKUP(C12,[5]Sheet1!$C$1:$F$65536,3,0)</f>
        <v>0</v>
      </c>
      <c r="AJ12" s="169">
        <f>VLOOKUP(C12,[5]Sheet1!$C$1:$F$65536,4,0)</f>
        <v>2</v>
      </c>
      <c r="AK12" s="175"/>
      <c r="AL12" s="169"/>
      <c r="AM12" s="169"/>
      <c r="AN12" s="169"/>
      <c r="AP12" s="169"/>
      <c r="AQ12" s="169"/>
      <c r="AR12" s="169"/>
      <c r="AT12" s="169"/>
      <c r="AU12" s="169"/>
      <c r="AV12" s="169"/>
      <c r="AX12" s="169"/>
      <c r="AY12" s="169"/>
      <c r="AZ12" s="169"/>
    </row>
    <row r="13" spans="1:52" x14ac:dyDescent="0.25">
      <c r="A13" s="113">
        <v>10</v>
      </c>
      <c r="B13" s="125" t="s">
        <v>115</v>
      </c>
      <c r="C13" s="125" t="s">
        <v>116</v>
      </c>
      <c r="D13" s="113" t="s">
        <v>60</v>
      </c>
      <c r="F13" s="115">
        <v>709</v>
      </c>
      <c r="G13" s="115">
        <v>131</v>
      </c>
      <c r="H13" s="115">
        <v>0</v>
      </c>
      <c r="J13" s="115">
        <v>151</v>
      </c>
      <c r="K13" s="115">
        <v>209</v>
      </c>
      <c r="L13" s="115">
        <v>0</v>
      </c>
      <c r="N13" s="115">
        <v>268</v>
      </c>
      <c r="O13" s="115">
        <v>32</v>
      </c>
      <c r="P13" s="115">
        <v>0</v>
      </c>
      <c r="R13" s="115">
        <v>35</v>
      </c>
      <c r="S13" s="115">
        <v>415</v>
      </c>
      <c r="T13" s="115">
        <v>0</v>
      </c>
      <c r="V13" s="115">
        <v>720</v>
      </c>
      <c r="W13" s="115">
        <v>154</v>
      </c>
      <c r="X13" s="115">
        <v>0</v>
      </c>
      <c r="Z13" s="169">
        <v>836</v>
      </c>
      <c r="AA13" s="169">
        <v>278</v>
      </c>
      <c r="AB13" s="169">
        <v>0</v>
      </c>
      <c r="AC13" s="136">
        <v>1</v>
      </c>
      <c r="AD13" s="169">
        <f>VLOOKUP(B13,[4]PCS!$D$1:$E$65536,2,0)</f>
        <v>527</v>
      </c>
      <c r="AE13" s="169">
        <f>VLOOKUP(B13,[4]PCS!$D$1:$F$65536,3,0)</f>
        <v>136</v>
      </c>
      <c r="AF13" s="169">
        <f>VLOOKUP(B13,[4]PCS!$D$1:$G$65536,4,0)</f>
        <v>0</v>
      </c>
      <c r="AG13" s="136">
        <v>1</v>
      </c>
      <c r="AH13" s="169">
        <f>VLOOKUP(C13,[5]Sheet1!$C$1:$D$65536,2,0)</f>
        <v>67</v>
      </c>
      <c r="AI13" s="169">
        <f>VLOOKUP(C13,[5]Sheet1!$C$1:$F$65536,3,0)</f>
        <v>0</v>
      </c>
      <c r="AJ13" s="169">
        <f>VLOOKUP(C13,[5]Sheet1!$C$1:$F$65536,4,0)</f>
        <v>0</v>
      </c>
      <c r="AK13" s="175"/>
      <c r="AL13" s="169"/>
      <c r="AM13" s="169"/>
      <c r="AN13" s="169"/>
      <c r="AP13" s="169"/>
      <c r="AQ13" s="169"/>
      <c r="AR13" s="169"/>
      <c r="AT13" s="169"/>
      <c r="AU13" s="169"/>
      <c r="AV13" s="169"/>
      <c r="AX13" s="169"/>
      <c r="AY13" s="169"/>
      <c r="AZ13" s="169"/>
    </row>
    <row r="14" spans="1:52" x14ac:dyDescent="0.25">
      <c r="A14" s="113">
        <v>11</v>
      </c>
      <c r="B14" s="125" t="s">
        <v>117</v>
      </c>
      <c r="C14" s="125" t="s">
        <v>118</v>
      </c>
      <c r="D14" s="113" t="s">
        <v>60</v>
      </c>
      <c r="F14" s="115">
        <v>106</v>
      </c>
      <c r="G14" s="115">
        <v>14</v>
      </c>
      <c r="H14" s="115">
        <v>0</v>
      </c>
      <c r="J14" s="115">
        <v>45</v>
      </c>
      <c r="K14" s="115">
        <v>15</v>
      </c>
      <c r="L14" s="115">
        <v>0</v>
      </c>
      <c r="N14" s="115"/>
      <c r="O14" s="115"/>
      <c r="P14" s="115"/>
      <c r="R14" s="115">
        <v>125</v>
      </c>
      <c r="S14" s="115">
        <v>55</v>
      </c>
      <c r="T14" s="115">
        <v>0</v>
      </c>
      <c r="V14" s="115"/>
      <c r="W14" s="115"/>
      <c r="X14" s="115"/>
      <c r="Z14" s="169">
        <v>748</v>
      </c>
      <c r="AA14" s="169">
        <v>447</v>
      </c>
      <c r="AB14" s="169">
        <v>0</v>
      </c>
      <c r="AC14" s="136">
        <v>1</v>
      </c>
      <c r="AD14" s="169">
        <f>VLOOKUP(B14,[4]PCS!$D$1:$E$65536,2,0)</f>
        <v>2066</v>
      </c>
      <c r="AE14" s="169">
        <f>VLOOKUP(B14,[4]PCS!$D$1:$F$65536,3,0)</f>
        <v>334</v>
      </c>
      <c r="AF14" s="169">
        <f>VLOOKUP(B14,[4]PCS!$D$1:$G$65536,4,0)</f>
        <v>0</v>
      </c>
      <c r="AG14" s="136">
        <v>1</v>
      </c>
      <c r="AH14" s="169">
        <f>VLOOKUP(C14,[5]Sheet1!$C$1:$D$65536,2,0)</f>
        <v>1800</v>
      </c>
      <c r="AI14" s="169">
        <f>VLOOKUP(C14,[5]Sheet1!$C$1:$F$65536,3,0)</f>
        <v>0</v>
      </c>
      <c r="AJ14" s="169">
        <f>VLOOKUP(C14,[5]Sheet1!$C$1:$F$65536,4,0)</f>
        <v>0</v>
      </c>
      <c r="AK14" s="175"/>
      <c r="AL14" s="169"/>
      <c r="AM14" s="169"/>
      <c r="AN14" s="169"/>
      <c r="AP14" s="169"/>
      <c r="AQ14" s="169"/>
      <c r="AR14" s="169"/>
      <c r="AT14" s="169"/>
      <c r="AU14" s="169"/>
      <c r="AV14" s="169"/>
      <c r="AX14" s="169"/>
      <c r="AY14" s="169"/>
      <c r="AZ14" s="169"/>
    </row>
    <row r="15" spans="1:52" x14ac:dyDescent="0.25">
      <c r="A15" s="113">
        <v>12</v>
      </c>
      <c r="B15" s="125" t="s">
        <v>119</v>
      </c>
      <c r="C15" s="125" t="s">
        <v>120</v>
      </c>
      <c r="D15" s="113" t="s">
        <v>60</v>
      </c>
      <c r="F15" s="115">
        <v>3562</v>
      </c>
      <c r="G15" s="115">
        <v>520</v>
      </c>
      <c r="H15" s="115">
        <v>16</v>
      </c>
      <c r="J15" s="115">
        <v>3572</v>
      </c>
      <c r="K15" s="115">
        <v>493</v>
      </c>
      <c r="L15" s="115">
        <v>2</v>
      </c>
      <c r="N15" s="115">
        <v>3850</v>
      </c>
      <c r="O15" s="115">
        <v>1827</v>
      </c>
      <c r="P15" s="115">
        <v>3</v>
      </c>
      <c r="R15" s="115">
        <v>1554</v>
      </c>
      <c r="S15" s="115">
        <v>593</v>
      </c>
      <c r="T15" s="115">
        <v>0</v>
      </c>
      <c r="V15" s="115">
        <v>3968</v>
      </c>
      <c r="W15" s="115">
        <v>1752</v>
      </c>
      <c r="X15" s="115">
        <v>0</v>
      </c>
      <c r="Z15" s="169">
        <v>4680</v>
      </c>
      <c r="AA15" s="169">
        <v>1508</v>
      </c>
      <c r="AB15" s="169">
        <v>0</v>
      </c>
      <c r="AC15" s="136">
        <v>1</v>
      </c>
      <c r="AD15" s="169">
        <v>5220</v>
      </c>
      <c r="AE15" s="169">
        <v>0</v>
      </c>
      <c r="AF15" s="169">
        <f>VLOOKUP(B15,[4]PCS!$D$1:$G$65536,4,0)</f>
        <v>0</v>
      </c>
      <c r="AG15" s="136">
        <v>1</v>
      </c>
      <c r="AH15" s="169">
        <f>VLOOKUP(C15,[5]Sheet1!$C$1:$D$65536,2,0)</f>
        <v>4104</v>
      </c>
      <c r="AI15" s="169">
        <f>VLOOKUP(C15,[5]Sheet1!$C$1:$F$65536,3,0)</f>
        <v>0</v>
      </c>
      <c r="AJ15" s="169">
        <f>VLOOKUP(C15,[5]Sheet1!$C$1:$F$65536,4,0)</f>
        <v>3</v>
      </c>
      <c r="AK15" s="175"/>
      <c r="AL15" s="169"/>
      <c r="AM15" s="169"/>
      <c r="AN15" s="169"/>
      <c r="AP15" s="169"/>
      <c r="AQ15" s="169"/>
      <c r="AR15" s="169"/>
      <c r="AT15" s="169"/>
      <c r="AU15" s="169"/>
      <c r="AV15" s="169"/>
      <c r="AX15" s="169"/>
      <c r="AY15" s="169"/>
      <c r="AZ15" s="169"/>
    </row>
    <row r="16" spans="1:52" x14ac:dyDescent="0.25">
      <c r="A16" s="113">
        <v>13</v>
      </c>
      <c r="B16" s="125" t="s">
        <v>121</v>
      </c>
      <c r="C16" s="125" t="s">
        <v>122</v>
      </c>
      <c r="D16" s="113" t="s">
        <v>60</v>
      </c>
      <c r="F16" s="115">
        <v>2622</v>
      </c>
      <c r="G16" s="115">
        <v>392</v>
      </c>
      <c r="H16" s="115">
        <v>0</v>
      </c>
      <c r="J16" s="115">
        <v>2413</v>
      </c>
      <c r="K16" s="115">
        <v>800</v>
      </c>
      <c r="L16" s="115">
        <v>1</v>
      </c>
      <c r="N16" s="115">
        <v>3875</v>
      </c>
      <c r="O16" s="115">
        <v>1257</v>
      </c>
      <c r="P16" s="115">
        <v>3</v>
      </c>
      <c r="R16" s="115">
        <v>703</v>
      </c>
      <c r="S16" s="115">
        <v>740</v>
      </c>
      <c r="T16" s="115">
        <v>0</v>
      </c>
      <c r="V16" s="115">
        <v>2521</v>
      </c>
      <c r="W16" s="115">
        <v>1399</v>
      </c>
      <c r="X16" s="115">
        <v>0</v>
      </c>
      <c r="Z16" s="169">
        <v>2584</v>
      </c>
      <c r="AA16" s="169">
        <v>1745</v>
      </c>
      <c r="AB16" s="169">
        <v>0</v>
      </c>
      <c r="AC16" s="136">
        <v>1</v>
      </c>
      <c r="AD16" s="169">
        <f>VLOOKUP(B16,[4]PCS!$D$1:$E$65536,2,0)</f>
        <v>3868</v>
      </c>
      <c r="AE16" s="169">
        <f>VLOOKUP(B16,[4]PCS!$D$1:$F$65536,3,0)</f>
        <v>773</v>
      </c>
      <c r="AF16" s="169">
        <f>VLOOKUP(B16,[4]PCS!$D$1:$G$65536,4,0)</f>
        <v>0</v>
      </c>
      <c r="AG16" s="136">
        <v>1</v>
      </c>
      <c r="AH16" s="169">
        <f>VLOOKUP(C16,[5]Sheet1!$C$1:$D$65536,2,0)</f>
        <v>3518</v>
      </c>
      <c r="AI16" s="169">
        <f>VLOOKUP(C16,[5]Sheet1!$C$1:$F$65536,3,0)</f>
        <v>0</v>
      </c>
      <c r="AJ16" s="169">
        <f>VLOOKUP(C16,[5]Sheet1!$C$1:$F$65536,4,0)</f>
        <v>2</v>
      </c>
      <c r="AK16" s="175"/>
      <c r="AL16" s="169"/>
      <c r="AM16" s="169"/>
      <c r="AN16" s="169"/>
      <c r="AP16" s="169"/>
      <c r="AQ16" s="169"/>
      <c r="AR16" s="169"/>
      <c r="AT16" s="169"/>
      <c r="AU16" s="169"/>
      <c r="AV16" s="169"/>
      <c r="AX16" s="169"/>
      <c r="AY16" s="169"/>
      <c r="AZ16" s="169"/>
    </row>
    <row r="17" spans="1:52" x14ac:dyDescent="0.25">
      <c r="A17" s="113">
        <v>14</v>
      </c>
      <c r="B17" s="125" t="s">
        <v>123</v>
      </c>
      <c r="C17" s="125" t="s">
        <v>124</v>
      </c>
      <c r="D17" s="113" t="s">
        <v>60</v>
      </c>
      <c r="F17" s="115">
        <v>406</v>
      </c>
      <c r="G17" s="115">
        <v>26</v>
      </c>
      <c r="H17" s="115">
        <v>0</v>
      </c>
      <c r="J17" s="115">
        <v>293</v>
      </c>
      <c r="K17" s="115">
        <v>7</v>
      </c>
      <c r="L17" s="115">
        <v>0</v>
      </c>
      <c r="N17" s="115">
        <v>173</v>
      </c>
      <c r="O17" s="115">
        <v>37</v>
      </c>
      <c r="P17" s="115">
        <v>0</v>
      </c>
      <c r="R17" s="115">
        <v>223</v>
      </c>
      <c r="S17" s="115">
        <v>20</v>
      </c>
      <c r="T17" s="115">
        <v>0</v>
      </c>
      <c r="V17" s="115">
        <v>371</v>
      </c>
      <c r="W17" s="115">
        <v>49</v>
      </c>
      <c r="X17" s="115">
        <v>0</v>
      </c>
      <c r="Z17" s="169">
        <v>446</v>
      </c>
      <c r="AA17" s="169">
        <v>83</v>
      </c>
      <c r="AB17" s="169">
        <v>0</v>
      </c>
      <c r="AC17" s="136">
        <v>1</v>
      </c>
      <c r="AD17" s="169">
        <f>VLOOKUP(B17,[4]PCS!$D$1:$E$65536,2,0)</f>
        <v>356</v>
      </c>
      <c r="AE17" s="169">
        <f>VLOOKUP(B17,[4]PCS!$D$1:$F$65536,3,0)</f>
        <v>28</v>
      </c>
      <c r="AF17" s="169">
        <f>VLOOKUP(B17,[4]PCS!$D$1:$G$65536,4,0)</f>
        <v>0</v>
      </c>
      <c r="AG17" s="136">
        <v>1</v>
      </c>
      <c r="AH17" s="169">
        <f>VLOOKUP(C17,[5]Sheet1!$C$1:$D$65536,2,0)</f>
        <v>450</v>
      </c>
      <c r="AI17" s="169">
        <f>VLOOKUP(C17,[5]Sheet1!$C$1:$F$65536,3,0)</f>
        <v>0</v>
      </c>
      <c r="AJ17" s="169">
        <f>VLOOKUP(C17,[5]Sheet1!$C$1:$F$65536,4,0)</f>
        <v>0</v>
      </c>
      <c r="AK17" s="175"/>
      <c r="AL17" s="169"/>
      <c r="AM17" s="169"/>
      <c r="AN17" s="169"/>
      <c r="AP17" s="169"/>
      <c r="AQ17" s="169"/>
      <c r="AR17" s="169"/>
      <c r="AT17" s="169"/>
      <c r="AU17" s="169"/>
      <c r="AV17" s="169"/>
      <c r="AX17" s="169"/>
      <c r="AY17" s="169"/>
      <c r="AZ17" s="169"/>
    </row>
    <row r="18" spans="1:52" x14ac:dyDescent="0.25">
      <c r="A18" s="113">
        <v>15</v>
      </c>
      <c r="B18" s="125" t="s">
        <v>125</v>
      </c>
      <c r="C18" s="125" t="s">
        <v>126</v>
      </c>
      <c r="D18" s="113" t="s">
        <v>60</v>
      </c>
      <c r="F18" s="115">
        <v>2807</v>
      </c>
      <c r="G18" s="115">
        <v>259</v>
      </c>
      <c r="H18" s="115">
        <v>0</v>
      </c>
      <c r="J18" s="115">
        <v>3171</v>
      </c>
      <c r="K18" s="115">
        <v>448</v>
      </c>
      <c r="L18" s="115">
        <v>0</v>
      </c>
      <c r="N18" s="115">
        <v>3098</v>
      </c>
      <c r="O18" s="115">
        <v>552</v>
      </c>
      <c r="P18" s="115">
        <v>0</v>
      </c>
      <c r="R18" s="115">
        <v>1625</v>
      </c>
      <c r="S18" s="115">
        <v>375</v>
      </c>
      <c r="T18" s="115">
        <v>18</v>
      </c>
      <c r="V18" s="115">
        <v>2627</v>
      </c>
      <c r="W18" s="115">
        <v>931</v>
      </c>
      <c r="X18" s="115">
        <v>0</v>
      </c>
      <c r="Z18" s="169">
        <v>4525</v>
      </c>
      <c r="AA18" s="169">
        <v>1214</v>
      </c>
      <c r="AB18" s="169">
        <v>2</v>
      </c>
      <c r="AC18" s="136">
        <v>1</v>
      </c>
      <c r="AD18" s="169">
        <v>5920</v>
      </c>
      <c r="AE18" s="169">
        <v>0</v>
      </c>
      <c r="AF18" s="169">
        <f>VLOOKUP(B18,[4]PCS!$D$1:$G$65536,4,0)</f>
        <v>0</v>
      </c>
      <c r="AG18" s="136">
        <v>1</v>
      </c>
      <c r="AH18" s="169">
        <f>VLOOKUP(C18,[5]Sheet1!$C$1:$D$65536,2,0)</f>
        <v>5899</v>
      </c>
      <c r="AI18" s="169">
        <f>VLOOKUP(C18,[5]Sheet1!$C$1:$F$65536,3,0)</f>
        <v>0</v>
      </c>
      <c r="AJ18" s="169">
        <f>VLOOKUP(C18,[5]Sheet1!$C$1:$F$65536,4,0)</f>
        <v>0</v>
      </c>
      <c r="AK18" s="175"/>
      <c r="AL18" s="169"/>
      <c r="AM18" s="169"/>
      <c r="AN18" s="169"/>
      <c r="AP18" s="169"/>
      <c r="AQ18" s="169"/>
      <c r="AR18" s="169"/>
      <c r="AT18" s="169"/>
      <c r="AU18" s="169"/>
      <c r="AV18" s="169"/>
      <c r="AX18" s="169"/>
      <c r="AY18" s="169"/>
      <c r="AZ18" s="169"/>
    </row>
    <row r="19" spans="1:52" x14ac:dyDescent="0.25">
      <c r="A19" s="113">
        <v>16</v>
      </c>
      <c r="B19" s="125" t="s">
        <v>127</v>
      </c>
      <c r="C19" s="125" t="s">
        <v>128</v>
      </c>
      <c r="D19" s="113" t="s">
        <v>60</v>
      </c>
      <c r="F19" s="115">
        <v>1325</v>
      </c>
      <c r="G19" s="115">
        <v>0</v>
      </c>
      <c r="H19" s="115">
        <v>0</v>
      </c>
      <c r="J19" s="115">
        <v>1000</v>
      </c>
      <c r="K19" s="115">
        <v>0</v>
      </c>
      <c r="L19" s="115">
        <v>0</v>
      </c>
      <c r="N19" s="115">
        <v>800</v>
      </c>
      <c r="O19" s="115">
        <v>0</v>
      </c>
      <c r="P19" s="115">
        <v>2</v>
      </c>
      <c r="R19" s="115"/>
      <c r="S19" s="115"/>
      <c r="T19" s="115"/>
      <c r="V19" s="115"/>
      <c r="W19" s="115"/>
      <c r="X19" s="115"/>
      <c r="Z19" s="169"/>
      <c r="AA19" s="169"/>
      <c r="AB19" s="169"/>
      <c r="AC19" s="136">
        <v>1</v>
      </c>
      <c r="AD19" s="169"/>
      <c r="AE19" s="169"/>
      <c r="AF19" s="169"/>
      <c r="AG19" s="136">
        <v>1</v>
      </c>
      <c r="AH19" s="169"/>
      <c r="AI19" s="169"/>
      <c r="AJ19" s="169"/>
      <c r="AK19" s="175"/>
      <c r="AL19" s="169"/>
      <c r="AM19" s="169"/>
      <c r="AN19" s="169"/>
      <c r="AP19" s="169"/>
      <c r="AQ19" s="169"/>
      <c r="AR19" s="169"/>
      <c r="AT19" s="169"/>
      <c r="AU19" s="169"/>
      <c r="AV19" s="169"/>
      <c r="AX19" s="169"/>
      <c r="AY19" s="169"/>
      <c r="AZ19" s="169"/>
    </row>
    <row r="20" spans="1:52" x14ac:dyDescent="0.25">
      <c r="A20" s="113">
        <v>17</v>
      </c>
      <c r="B20" s="125" t="s">
        <v>129</v>
      </c>
      <c r="C20" s="125" t="s">
        <v>130</v>
      </c>
      <c r="D20" s="113" t="s">
        <v>60</v>
      </c>
      <c r="F20" s="115">
        <v>275</v>
      </c>
      <c r="G20" s="115">
        <v>0</v>
      </c>
      <c r="H20" s="115">
        <v>0</v>
      </c>
      <c r="J20" s="115">
        <v>275</v>
      </c>
      <c r="K20" s="115">
        <v>0</v>
      </c>
      <c r="L20" s="115">
        <v>0</v>
      </c>
      <c r="N20" s="115">
        <v>225</v>
      </c>
      <c r="O20" s="115">
        <v>0</v>
      </c>
      <c r="P20" s="115">
        <v>1</v>
      </c>
      <c r="R20" s="115"/>
      <c r="S20" s="115"/>
      <c r="T20" s="115"/>
      <c r="V20" s="115"/>
      <c r="W20" s="115"/>
      <c r="X20" s="115"/>
      <c r="Z20" s="169"/>
      <c r="AA20" s="169"/>
      <c r="AB20" s="169"/>
      <c r="AC20" s="136">
        <v>1</v>
      </c>
      <c r="AD20" s="169"/>
      <c r="AE20" s="169"/>
      <c r="AF20" s="169"/>
      <c r="AG20" s="136">
        <v>1</v>
      </c>
      <c r="AH20" s="169"/>
      <c r="AI20" s="169"/>
      <c r="AJ20" s="169"/>
      <c r="AK20" s="175"/>
      <c r="AL20" s="169"/>
      <c r="AM20" s="169"/>
      <c r="AN20" s="169"/>
      <c r="AP20" s="169"/>
      <c r="AQ20" s="169"/>
      <c r="AR20" s="169"/>
      <c r="AT20" s="169"/>
      <c r="AU20" s="169"/>
      <c r="AV20" s="169"/>
      <c r="AX20" s="169"/>
      <c r="AY20" s="169"/>
      <c r="AZ20" s="169"/>
    </row>
    <row r="21" spans="1:52" x14ac:dyDescent="0.25">
      <c r="A21" s="113">
        <v>18</v>
      </c>
      <c r="B21" s="125" t="s">
        <v>131</v>
      </c>
      <c r="C21" s="125" t="s">
        <v>132</v>
      </c>
      <c r="D21" s="113" t="s">
        <v>60</v>
      </c>
      <c r="F21" s="115">
        <v>4220</v>
      </c>
      <c r="G21" s="115">
        <v>5</v>
      </c>
      <c r="H21" s="115">
        <v>16</v>
      </c>
      <c r="J21" s="115">
        <v>4200</v>
      </c>
      <c r="K21" s="115">
        <v>0</v>
      </c>
      <c r="L21" s="115">
        <v>3</v>
      </c>
      <c r="N21" s="115">
        <v>5060</v>
      </c>
      <c r="O21" s="115">
        <v>70</v>
      </c>
      <c r="P21" s="115">
        <v>0</v>
      </c>
      <c r="R21" s="115">
        <v>2430</v>
      </c>
      <c r="S21" s="115">
        <v>1</v>
      </c>
      <c r="T21" s="115">
        <v>0</v>
      </c>
      <c r="V21" s="115">
        <v>5368</v>
      </c>
      <c r="W21" s="115">
        <v>331</v>
      </c>
      <c r="X21" s="115">
        <v>0</v>
      </c>
      <c r="Z21" s="169"/>
      <c r="AA21" s="169"/>
      <c r="AB21" s="169"/>
      <c r="AC21" s="136">
        <v>1</v>
      </c>
      <c r="AD21" s="169"/>
      <c r="AE21" s="169"/>
      <c r="AF21" s="169"/>
      <c r="AG21" s="136">
        <v>1</v>
      </c>
      <c r="AH21" s="169"/>
      <c r="AI21" s="169"/>
      <c r="AJ21" s="169"/>
      <c r="AK21" s="175"/>
      <c r="AL21" s="169"/>
      <c r="AM21" s="169"/>
      <c r="AN21" s="169"/>
      <c r="AP21" s="169"/>
      <c r="AQ21" s="169"/>
      <c r="AR21" s="169"/>
      <c r="AT21" s="169"/>
      <c r="AU21" s="169"/>
      <c r="AV21" s="169"/>
      <c r="AX21" s="169"/>
      <c r="AY21" s="169"/>
      <c r="AZ21" s="169"/>
    </row>
    <row r="22" spans="1:52" x14ac:dyDescent="0.25">
      <c r="A22" s="113">
        <v>19</v>
      </c>
      <c r="B22" s="125" t="s">
        <v>133</v>
      </c>
      <c r="C22" s="125" t="s">
        <v>134</v>
      </c>
      <c r="D22" s="113" t="s">
        <v>60</v>
      </c>
      <c r="F22" s="115">
        <v>3</v>
      </c>
      <c r="G22" s="115">
        <v>0</v>
      </c>
      <c r="H22" s="115">
        <v>0</v>
      </c>
      <c r="J22" s="115">
        <v>3</v>
      </c>
      <c r="K22" s="115">
        <v>0</v>
      </c>
      <c r="L22" s="115">
        <v>0</v>
      </c>
      <c r="N22" s="115"/>
      <c r="O22" s="115"/>
      <c r="P22" s="115"/>
      <c r="R22" s="115"/>
      <c r="S22" s="115"/>
      <c r="T22" s="115"/>
      <c r="V22" s="115"/>
      <c r="W22" s="115"/>
      <c r="X22" s="115"/>
      <c r="Z22" s="169">
        <v>1</v>
      </c>
      <c r="AA22" s="169">
        <v>0</v>
      </c>
      <c r="AB22" s="169">
        <v>0</v>
      </c>
      <c r="AC22" s="136">
        <v>1</v>
      </c>
      <c r="AD22" s="169">
        <f>VLOOKUP(B22,[4]PCS!$D$1:$E$65536,2,0)</f>
        <v>6</v>
      </c>
      <c r="AE22" s="169">
        <f>VLOOKUP(B22,[4]PCS!$D$1:$F$65536,3,0)</f>
        <v>0</v>
      </c>
      <c r="AF22" s="169">
        <f>VLOOKUP(B22,[4]PCS!$D$1:$G$65536,4,0)</f>
        <v>0</v>
      </c>
      <c r="AG22" s="136">
        <v>1</v>
      </c>
      <c r="AH22" s="169"/>
      <c r="AI22" s="169"/>
      <c r="AJ22" s="169"/>
      <c r="AK22" s="175"/>
      <c r="AL22" s="169"/>
      <c r="AM22" s="169"/>
      <c r="AN22" s="169"/>
      <c r="AP22" s="169"/>
      <c r="AQ22" s="169"/>
      <c r="AR22" s="169"/>
      <c r="AT22" s="169"/>
      <c r="AU22" s="169"/>
      <c r="AV22" s="169"/>
      <c r="AX22" s="169"/>
      <c r="AY22" s="169"/>
      <c r="AZ22" s="169"/>
    </row>
    <row r="23" spans="1:52" x14ac:dyDescent="0.25">
      <c r="A23" s="113">
        <v>20</v>
      </c>
      <c r="B23" s="125" t="s">
        <v>135</v>
      </c>
      <c r="C23" s="125" t="s">
        <v>136</v>
      </c>
      <c r="D23" s="113" t="s">
        <v>60</v>
      </c>
      <c r="F23" s="115">
        <v>4100</v>
      </c>
      <c r="G23" s="115">
        <v>125</v>
      </c>
      <c r="H23" s="115">
        <v>16</v>
      </c>
      <c r="J23" s="115">
        <v>4364</v>
      </c>
      <c r="K23" s="115">
        <v>66</v>
      </c>
      <c r="L23" s="115">
        <v>3</v>
      </c>
      <c r="N23" s="115">
        <v>5244</v>
      </c>
      <c r="O23" s="115">
        <v>62</v>
      </c>
      <c r="P23" s="115">
        <v>0</v>
      </c>
      <c r="R23" s="115">
        <v>2410</v>
      </c>
      <c r="S23" s="115">
        <v>50</v>
      </c>
      <c r="T23" s="115">
        <v>0</v>
      </c>
      <c r="V23" s="115">
        <v>5862</v>
      </c>
      <c r="W23" s="115">
        <v>48</v>
      </c>
      <c r="X23" s="115">
        <v>5</v>
      </c>
      <c r="Z23" s="169"/>
      <c r="AA23" s="169"/>
      <c r="AB23" s="169"/>
      <c r="AC23" s="136">
        <v>1</v>
      </c>
      <c r="AD23" s="169"/>
      <c r="AE23" s="169"/>
      <c r="AF23" s="169"/>
      <c r="AG23" s="136">
        <v>1</v>
      </c>
      <c r="AH23" s="169"/>
      <c r="AI23" s="169"/>
      <c r="AJ23" s="169"/>
      <c r="AK23" s="175"/>
      <c r="AL23" s="169"/>
      <c r="AM23" s="169"/>
      <c r="AN23" s="169"/>
      <c r="AP23" s="169"/>
      <c r="AQ23" s="169"/>
      <c r="AR23" s="169"/>
      <c r="AT23" s="169"/>
      <c r="AU23" s="169"/>
      <c r="AV23" s="169"/>
      <c r="AX23" s="169"/>
      <c r="AY23" s="169"/>
      <c r="AZ23" s="169"/>
    </row>
    <row r="24" spans="1:52" x14ac:dyDescent="0.25">
      <c r="A24" s="113">
        <v>21</v>
      </c>
      <c r="B24" s="125" t="s">
        <v>137</v>
      </c>
      <c r="C24" s="125" t="s">
        <v>138</v>
      </c>
      <c r="D24" s="113" t="s">
        <v>60</v>
      </c>
      <c r="F24" s="115"/>
      <c r="G24" s="115"/>
      <c r="H24" s="115"/>
      <c r="J24" s="115">
        <v>3</v>
      </c>
      <c r="K24" s="115">
        <v>0</v>
      </c>
      <c r="L24" s="115">
        <v>0</v>
      </c>
      <c r="N24" s="115"/>
      <c r="O24" s="115"/>
      <c r="P24" s="115"/>
      <c r="R24" s="115"/>
      <c r="S24" s="115"/>
      <c r="T24" s="115"/>
      <c r="V24" s="115"/>
      <c r="W24" s="115"/>
      <c r="X24" s="115"/>
      <c r="Z24" s="169">
        <v>423</v>
      </c>
      <c r="AA24" s="169">
        <v>0</v>
      </c>
      <c r="AB24" s="169">
        <v>2</v>
      </c>
      <c r="AC24" s="136">
        <v>1</v>
      </c>
      <c r="AD24" s="169">
        <v>1938</v>
      </c>
      <c r="AE24" s="169">
        <f>VLOOKUP(B24,[4]PCS!$D$1:$F$65536,3,0)</f>
        <v>0</v>
      </c>
      <c r="AF24" s="169">
        <v>1</v>
      </c>
      <c r="AG24" s="136">
        <v>1</v>
      </c>
      <c r="AH24" s="169"/>
      <c r="AI24" s="169"/>
      <c r="AJ24" s="169"/>
      <c r="AK24" s="175"/>
      <c r="AL24" s="169"/>
      <c r="AM24" s="169"/>
      <c r="AN24" s="169"/>
      <c r="AP24" s="169"/>
      <c r="AQ24" s="169"/>
      <c r="AR24" s="169"/>
      <c r="AT24" s="169"/>
      <c r="AU24" s="169"/>
      <c r="AV24" s="169"/>
      <c r="AX24" s="169"/>
      <c r="AY24" s="169"/>
      <c r="AZ24" s="169"/>
    </row>
    <row r="25" spans="1:52" x14ac:dyDescent="0.25">
      <c r="A25" s="113">
        <v>22</v>
      </c>
      <c r="B25" s="125" t="s">
        <v>139</v>
      </c>
      <c r="C25" s="125" t="s">
        <v>140</v>
      </c>
      <c r="D25" s="113" t="s">
        <v>60</v>
      </c>
      <c r="F25" s="115">
        <v>0</v>
      </c>
      <c r="G25" s="115">
        <v>750</v>
      </c>
      <c r="H25" s="115">
        <v>5</v>
      </c>
      <c r="J25" s="115">
        <v>0</v>
      </c>
      <c r="K25" s="115">
        <v>360</v>
      </c>
      <c r="L25" s="115">
        <v>49</v>
      </c>
      <c r="N25" s="115">
        <v>79</v>
      </c>
      <c r="O25" s="115">
        <v>450</v>
      </c>
      <c r="P25" s="115">
        <v>0</v>
      </c>
      <c r="R25" s="115">
        <v>30</v>
      </c>
      <c r="S25" s="115">
        <v>450</v>
      </c>
      <c r="T25" s="115">
        <v>0</v>
      </c>
      <c r="V25" s="115">
        <v>192</v>
      </c>
      <c r="W25" s="115">
        <v>180</v>
      </c>
      <c r="X25" s="115">
        <v>0</v>
      </c>
      <c r="Z25" s="169">
        <v>870</v>
      </c>
      <c r="AA25" s="169">
        <v>60</v>
      </c>
      <c r="AB25" s="169">
        <v>0</v>
      </c>
      <c r="AC25" s="136">
        <v>1</v>
      </c>
      <c r="AD25" s="169">
        <f>VLOOKUP(B25,[4]PCS!$D$1:$E$65536,2,0)</f>
        <v>700</v>
      </c>
      <c r="AE25" s="169">
        <f>VLOOKUP(B25,[4]PCS!$D$1:$F$65536,3,0)</f>
        <v>20</v>
      </c>
      <c r="AF25" s="169">
        <f>VLOOKUP(B25,[4]PCS!$D$1:$G$65536,4,0)</f>
        <v>0</v>
      </c>
      <c r="AG25" s="136">
        <v>1</v>
      </c>
      <c r="AH25" s="169">
        <f>VLOOKUP(C25,[5]Sheet1!$C$1:$D$65536,2,0)</f>
        <v>566</v>
      </c>
      <c r="AI25" s="169">
        <f>VLOOKUP(C25,[5]Sheet1!$C$1:$F$65536,3,0)</f>
        <v>266</v>
      </c>
      <c r="AJ25" s="169">
        <f>VLOOKUP(C25,[5]Sheet1!$C$1:$F$65536,4,0)</f>
        <v>0</v>
      </c>
      <c r="AK25" s="175"/>
      <c r="AL25" s="169"/>
      <c r="AM25" s="169"/>
      <c r="AN25" s="169"/>
      <c r="AP25" s="169"/>
      <c r="AQ25" s="169"/>
      <c r="AR25" s="169"/>
      <c r="AT25" s="169"/>
      <c r="AU25" s="169"/>
      <c r="AV25" s="169"/>
      <c r="AX25" s="169"/>
      <c r="AY25" s="169"/>
      <c r="AZ25" s="169"/>
    </row>
    <row r="26" spans="1:52" x14ac:dyDescent="0.25">
      <c r="A26" s="113">
        <v>23</v>
      </c>
      <c r="B26" s="125" t="s">
        <v>141</v>
      </c>
      <c r="C26" s="125" t="s">
        <v>142</v>
      </c>
      <c r="D26" s="113" t="s">
        <v>60</v>
      </c>
      <c r="F26" s="115">
        <v>0</v>
      </c>
      <c r="G26" s="115">
        <v>780</v>
      </c>
      <c r="H26" s="115">
        <v>5</v>
      </c>
      <c r="J26" s="115">
        <v>0</v>
      </c>
      <c r="K26" s="115">
        <v>572</v>
      </c>
      <c r="L26" s="115">
        <v>11</v>
      </c>
      <c r="N26" s="115">
        <v>0</v>
      </c>
      <c r="O26" s="115">
        <v>450</v>
      </c>
      <c r="P26" s="115">
        <v>0</v>
      </c>
      <c r="R26" s="115">
        <v>0</v>
      </c>
      <c r="S26" s="115">
        <v>480</v>
      </c>
      <c r="T26" s="115">
        <v>0</v>
      </c>
      <c r="V26" s="115">
        <v>150</v>
      </c>
      <c r="W26" s="115">
        <v>150</v>
      </c>
      <c r="X26" s="115">
        <v>0</v>
      </c>
      <c r="Z26" s="169">
        <v>930</v>
      </c>
      <c r="AA26" s="169">
        <v>0</v>
      </c>
      <c r="AB26" s="169">
        <v>1</v>
      </c>
      <c r="AC26" s="136">
        <v>1</v>
      </c>
      <c r="AD26" s="169">
        <v>700</v>
      </c>
      <c r="AE26" s="169">
        <f>VLOOKUP(B26,[4]PCS!$D$1:$F$65536,3,0)</f>
        <v>21</v>
      </c>
      <c r="AF26" s="169">
        <v>0</v>
      </c>
      <c r="AG26" s="136">
        <v>1</v>
      </c>
      <c r="AH26" s="169">
        <f>VLOOKUP(C26,[5]Sheet1!$C$1:$D$65536,2,0)</f>
        <v>742</v>
      </c>
      <c r="AI26" s="169">
        <f>VLOOKUP(C26,[5]Sheet1!$C$1:$F$65536,3,0)</f>
        <v>90</v>
      </c>
      <c r="AJ26" s="169">
        <f>VLOOKUP(C26,[5]Sheet1!$C$1:$F$65536,4,0)</f>
        <v>0</v>
      </c>
      <c r="AK26" s="175"/>
      <c r="AL26" s="169"/>
      <c r="AM26" s="169"/>
      <c r="AN26" s="169"/>
      <c r="AP26" s="169"/>
      <c r="AQ26" s="169"/>
      <c r="AR26" s="169"/>
      <c r="AT26" s="169"/>
      <c r="AU26" s="169"/>
      <c r="AV26" s="169"/>
      <c r="AX26" s="169"/>
      <c r="AY26" s="169"/>
      <c r="AZ26" s="169"/>
    </row>
    <row r="27" spans="1:52" x14ac:dyDescent="0.25">
      <c r="A27" s="113">
        <v>24</v>
      </c>
      <c r="B27" s="125" t="s">
        <v>143</v>
      </c>
      <c r="C27" s="125" t="s">
        <v>144</v>
      </c>
      <c r="D27" s="113" t="s">
        <v>60</v>
      </c>
      <c r="F27" s="115">
        <v>900</v>
      </c>
      <c r="G27" s="115">
        <v>0</v>
      </c>
      <c r="H27" s="115">
        <v>2</v>
      </c>
      <c r="J27" s="115">
        <v>500</v>
      </c>
      <c r="K27" s="115">
        <v>0</v>
      </c>
      <c r="L27" s="115">
        <v>0</v>
      </c>
      <c r="N27" s="115">
        <v>300</v>
      </c>
      <c r="O27" s="115">
        <v>0</v>
      </c>
      <c r="P27" s="115">
        <v>0</v>
      </c>
      <c r="R27" s="115">
        <v>500</v>
      </c>
      <c r="S27" s="115">
        <v>0</v>
      </c>
      <c r="T27" s="115">
        <v>0</v>
      </c>
      <c r="V27" s="115">
        <v>700</v>
      </c>
      <c r="W27" s="115">
        <v>0</v>
      </c>
      <c r="X27" s="115">
        <v>0</v>
      </c>
      <c r="Z27" s="169">
        <v>800</v>
      </c>
      <c r="AA27" s="169">
        <v>0</v>
      </c>
      <c r="AB27" s="169">
        <v>0</v>
      </c>
      <c r="AC27" s="136">
        <v>1</v>
      </c>
      <c r="AD27" s="169">
        <f>VLOOKUP(B27,[4]PCS!$D$1:$E$65536,2,0)</f>
        <v>800</v>
      </c>
      <c r="AE27" s="169">
        <f>VLOOKUP(B27,[4]PCS!$D$1:$F$65536,3,0)</f>
        <v>0</v>
      </c>
      <c r="AF27" s="169">
        <f>VLOOKUP(B27,[4]PCS!$D$1:$G$65536,4,0)</f>
        <v>0</v>
      </c>
      <c r="AG27" s="136">
        <v>1</v>
      </c>
      <c r="AH27" s="169">
        <f>VLOOKUP(C27,[5]Sheet1!$C$1:$D$65536,2,0)</f>
        <v>600</v>
      </c>
      <c r="AI27" s="169">
        <f>VLOOKUP(C27,[5]Sheet1!$C$1:$F$65536,3,0)</f>
        <v>0</v>
      </c>
      <c r="AJ27" s="169">
        <f>VLOOKUP(C27,[5]Sheet1!$C$1:$F$65536,4,0)</f>
        <v>0</v>
      </c>
      <c r="AK27" s="175"/>
      <c r="AL27" s="169"/>
      <c r="AM27" s="169"/>
      <c r="AN27" s="169"/>
      <c r="AP27" s="169"/>
      <c r="AQ27" s="169"/>
      <c r="AR27" s="169"/>
      <c r="AT27" s="169"/>
      <c r="AU27" s="169"/>
      <c r="AV27" s="169"/>
      <c r="AX27" s="169"/>
      <c r="AY27" s="169"/>
      <c r="AZ27" s="169"/>
    </row>
    <row r="28" spans="1:52" x14ac:dyDescent="0.25">
      <c r="A28" s="113">
        <v>25</v>
      </c>
      <c r="B28" s="125" t="s">
        <v>145</v>
      </c>
      <c r="C28" s="125" t="s">
        <v>146</v>
      </c>
      <c r="D28" s="113" t="s">
        <v>60</v>
      </c>
      <c r="F28" s="115">
        <v>1076</v>
      </c>
      <c r="G28" s="115">
        <v>0</v>
      </c>
      <c r="H28" s="115">
        <v>7</v>
      </c>
      <c r="J28" s="115">
        <v>720</v>
      </c>
      <c r="K28" s="115">
        <v>0</v>
      </c>
      <c r="L28" s="115">
        <v>3</v>
      </c>
      <c r="N28" s="115">
        <v>720</v>
      </c>
      <c r="O28" s="115">
        <v>0</v>
      </c>
      <c r="P28" s="115">
        <v>0</v>
      </c>
      <c r="R28" s="115">
        <v>840</v>
      </c>
      <c r="S28" s="115">
        <v>0</v>
      </c>
      <c r="T28" s="115">
        <v>4</v>
      </c>
      <c r="V28" s="115">
        <v>660</v>
      </c>
      <c r="W28" s="115">
        <v>0</v>
      </c>
      <c r="X28" s="115">
        <v>0</v>
      </c>
      <c r="Z28" s="169">
        <v>780</v>
      </c>
      <c r="AA28" s="169">
        <v>0</v>
      </c>
      <c r="AB28" s="169">
        <v>0</v>
      </c>
      <c r="AC28" s="136">
        <v>1</v>
      </c>
      <c r="AD28" s="169">
        <f>VLOOKUP(B28,[4]PCS!$D$1:$E$65536,2,0)</f>
        <v>1320</v>
      </c>
      <c r="AE28" s="169">
        <f>VLOOKUP(B28,[4]PCS!$D$1:$F$65536,3,0)</f>
        <v>0</v>
      </c>
      <c r="AF28" s="169">
        <f>VLOOKUP(B28,[4]PCS!$D$1:$G$65536,4,0)</f>
        <v>0</v>
      </c>
      <c r="AG28" s="136">
        <v>1</v>
      </c>
      <c r="AH28" s="169">
        <f>VLOOKUP(C28,[5]Sheet1!$C$1:$D$65536,2,0)</f>
        <v>904</v>
      </c>
      <c r="AI28" s="169">
        <f>VLOOKUP(C28,[5]Sheet1!$C$1:$F$65536,3,0)</f>
        <v>0</v>
      </c>
      <c r="AJ28" s="169">
        <f>VLOOKUP(C28,[5]Sheet1!$C$1:$F$65536,4,0)</f>
        <v>8</v>
      </c>
      <c r="AK28" s="175"/>
      <c r="AL28" s="169"/>
      <c r="AM28" s="169"/>
      <c r="AN28" s="169"/>
      <c r="AP28" s="169"/>
      <c r="AQ28" s="169"/>
      <c r="AR28" s="169"/>
      <c r="AT28" s="169"/>
      <c r="AU28" s="169"/>
      <c r="AV28" s="169"/>
      <c r="AX28" s="169"/>
      <c r="AY28" s="169"/>
      <c r="AZ28" s="169"/>
    </row>
    <row r="29" spans="1:52" x14ac:dyDescent="0.25">
      <c r="A29" s="113">
        <v>26</v>
      </c>
      <c r="B29" s="125" t="s">
        <v>147</v>
      </c>
      <c r="C29" s="125" t="s">
        <v>148</v>
      </c>
      <c r="D29" s="113" t="s">
        <v>60</v>
      </c>
      <c r="F29" s="115">
        <v>885</v>
      </c>
      <c r="G29" s="115">
        <v>0</v>
      </c>
      <c r="H29" s="115">
        <v>1</v>
      </c>
      <c r="J29" s="115">
        <v>720</v>
      </c>
      <c r="K29" s="115">
        <v>0</v>
      </c>
      <c r="L29" s="115">
        <v>0</v>
      </c>
      <c r="N29" s="115">
        <v>900</v>
      </c>
      <c r="O29" s="115">
        <v>0</v>
      </c>
      <c r="P29" s="115">
        <v>0</v>
      </c>
      <c r="R29" s="115">
        <v>618</v>
      </c>
      <c r="S29" s="115">
        <v>0</v>
      </c>
      <c r="T29" s="115">
        <v>0</v>
      </c>
      <c r="V29" s="115">
        <v>1032</v>
      </c>
      <c r="W29" s="115">
        <v>0</v>
      </c>
      <c r="X29" s="115">
        <v>0</v>
      </c>
      <c r="Z29" s="169">
        <v>900</v>
      </c>
      <c r="AA29" s="169">
        <v>0</v>
      </c>
      <c r="AB29" s="169">
        <v>0</v>
      </c>
      <c r="AC29" s="136">
        <v>1</v>
      </c>
      <c r="AD29" s="169">
        <f>VLOOKUP(B29,[4]PCS!$D$1:$E$65536,2,0)</f>
        <v>960</v>
      </c>
      <c r="AE29" s="169">
        <f>VLOOKUP(B29,[4]PCS!$D$1:$F$65536,3,0)</f>
        <v>0</v>
      </c>
      <c r="AF29" s="169">
        <f>VLOOKUP(B29,[4]PCS!$D$1:$G$65536,4,0)</f>
        <v>0</v>
      </c>
      <c r="AG29" s="136">
        <v>1</v>
      </c>
      <c r="AH29" s="169">
        <f>VLOOKUP(C29,[5]Sheet1!$C$1:$D$65536,2,0)</f>
        <v>978</v>
      </c>
      <c r="AI29" s="169">
        <f>VLOOKUP(C29,[5]Sheet1!$C$1:$F$65536,3,0)</f>
        <v>0</v>
      </c>
      <c r="AJ29" s="169">
        <f>VLOOKUP(C29,[5]Sheet1!$C$1:$F$65536,4,0)</f>
        <v>0</v>
      </c>
      <c r="AK29" s="175"/>
      <c r="AL29" s="169"/>
      <c r="AM29" s="169"/>
      <c r="AN29" s="169"/>
      <c r="AP29" s="169"/>
      <c r="AQ29" s="169"/>
      <c r="AR29" s="169"/>
      <c r="AT29" s="169"/>
      <c r="AU29" s="169"/>
      <c r="AV29" s="169"/>
      <c r="AX29" s="169"/>
      <c r="AY29" s="169"/>
      <c r="AZ29" s="169"/>
    </row>
    <row r="30" spans="1:52" x14ac:dyDescent="0.25">
      <c r="A30" s="113">
        <v>27</v>
      </c>
      <c r="B30" s="125" t="s">
        <v>149</v>
      </c>
      <c r="C30" s="125" t="s">
        <v>150</v>
      </c>
      <c r="D30" s="113" t="s">
        <v>60</v>
      </c>
      <c r="F30" s="115">
        <v>1016</v>
      </c>
      <c r="G30" s="115">
        <v>0</v>
      </c>
      <c r="H30" s="115">
        <v>0</v>
      </c>
      <c r="J30" s="115">
        <v>660</v>
      </c>
      <c r="K30" s="115">
        <v>0</v>
      </c>
      <c r="L30" s="115">
        <v>0</v>
      </c>
      <c r="N30" s="115">
        <v>840</v>
      </c>
      <c r="O30" s="115">
        <v>0</v>
      </c>
      <c r="P30" s="115">
        <v>0</v>
      </c>
      <c r="R30" s="115">
        <v>680</v>
      </c>
      <c r="S30" s="115">
        <v>0</v>
      </c>
      <c r="T30" s="115">
        <v>0</v>
      </c>
      <c r="V30" s="115">
        <v>740</v>
      </c>
      <c r="W30" s="115">
        <v>0</v>
      </c>
      <c r="X30" s="115">
        <v>0</v>
      </c>
      <c r="Z30" s="169">
        <v>900</v>
      </c>
      <c r="AA30" s="169">
        <v>0</v>
      </c>
      <c r="AB30" s="169">
        <v>0</v>
      </c>
      <c r="AC30" s="136">
        <v>1</v>
      </c>
      <c r="AD30" s="169">
        <f>VLOOKUP(B30,[4]PCS!$D$1:$E$65536,2,0)</f>
        <v>1200</v>
      </c>
      <c r="AE30" s="169">
        <f>VLOOKUP(B30,[4]PCS!$D$1:$F$65536,3,0)</f>
        <v>0</v>
      </c>
      <c r="AF30" s="169">
        <f>VLOOKUP(B30,[4]PCS!$D$1:$G$65536,4,0)</f>
        <v>0</v>
      </c>
      <c r="AG30" s="136">
        <v>1</v>
      </c>
      <c r="AH30" s="169">
        <f>VLOOKUP(C30,[5]Sheet1!$C$1:$D$65536,2,0)</f>
        <v>840</v>
      </c>
      <c r="AI30" s="169">
        <f>VLOOKUP(C30,[5]Sheet1!$C$1:$F$65536,3,0)</f>
        <v>0</v>
      </c>
      <c r="AJ30" s="169">
        <f>VLOOKUP(C30,[5]Sheet1!$C$1:$F$65536,4,0)</f>
        <v>0</v>
      </c>
      <c r="AK30" s="175"/>
      <c r="AL30" s="169"/>
      <c r="AM30" s="169"/>
      <c r="AN30" s="169"/>
      <c r="AP30" s="169"/>
      <c r="AQ30" s="169"/>
      <c r="AR30" s="169"/>
      <c r="AT30" s="169"/>
      <c r="AU30" s="169"/>
      <c r="AV30" s="169"/>
      <c r="AX30" s="169"/>
      <c r="AY30" s="169"/>
      <c r="AZ30" s="169"/>
    </row>
    <row r="31" spans="1:52" x14ac:dyDescent="0.25">
      <c r="A31" s="113">
        <v>28</v>
      </c>
      <c r="B31" s="125" t="s">
        <v>151</v>
      </c>
      <c r="C31" s="125" t="s">
        <v>152</v>
      </c>
      <c r="D31" s="113" t="s">
        <v>60</v>
      </c>
      <c r="F31" s="115"/>
      <c r="G31" s="115"/>
      <c r="H31" s="115"/>
      <c r="J31" s="115">
        <v>60</v>
      </c>
      <c r="K31" s="115">
        <v>0</v>
      </c>
      <c r="L31" s="115">
        <v>0</v>
      </c>
      <c r="N31" s="115">
        <v>60</v>
      </c>
      <c r="O31" s="115">
        <v>0</v>
      </c>
      <c r="P31" s="115">
        <v>0</v>
      </c>
      <c r="R31" s="115"/>
      <c r="S31" s="115"/>
      <c r="T31" s="115"/>
      <c r="V31" s="115"/>
      <c r="W31" s="115"/>
      <c r="X31" s="115"/>
      <c r="Z31" s="169">
        <v>120</v>
      </c>
      <c r="AA31" s="169">
        <v>0</v>
      </c>
      <c r="AB31" s="169">
        <v>0</v>
      </c>
      <c r="AC31" s="136">
        <v>1</v>
      </c>
      <c r="AD31" s="169">
        <f>VLOOKUP(B31,[4]PCS!$D$1:$E$65536,2,0)</f>
        <v>120</v>
      </c>
      <c r="AE31" s="169">
        <f>VLOOKUP(B31,[4]PCS!$D$1:$F$65536,3,0)</f>
        <v>0</v>
      </c>
      <c r="AF31" s="169">
        <f>VLOOKUP(B31,[4]PCS!$D$1:$G$65536,4,0)</f>
        <v>0</v>
      </c>
      <c r="AG31" s="136">
        <v>1</v>
      </c>
      <c r="AH31" s="169">
        <f>VLOOKUP(C31,[5]Sheet1!$C$1:$D$65536,2,0)</f>
        <v>60</v>
      </c>
      <c r="AI31" s="169">
        <f>VLOOKUP(C31,[5]Sheet1!$C$1:$F$65536,3,0)</f>
        <v>0</v>
      </c>
      <c r="AJ31" s="169">
        <f>VLOOKUP(C31,[5]Sheet1!$C$1:$F$65536,4,0)</f>
        <v>0</v>
      </c>
      <c r="AK31" s="175"/>
      <c r="AL31" s="169"/>
      <c r="AM31" s="169"/>
      <c r="AN31" s="169"/>
      <c r="AP31" s="169"/>
      <c r="AQ31" s="169"/>
      <c r="AR31" s="169"/>
      <c r="AT31" s="169"/>
      <c r="AU31" s="169"/>
      <c r="AV31" s="169"/>
      <c r="AX31" s="169"/>
      <c r="AY31" s="169"/>
      <c r="AZ31" s="169"/>
    </row>
    <row r="32" spans="1:52" x14ac:dyDescent="0.25">
      <c r="A32" s="113">
        <v>29</v>
      </c>
      <c r="B32" s="125" t="s">
        <v>153</v>
      </c>
      <c r="C32" s="125" t="s">
        <v>154</v>
      </c>
      <c r="D32" s="113" t="s">
        <v>60</v>
      </c>
      <c r="F32" s="115">
        <v>7670</v>
      </c>
      <c r="G32" s="115">
        <v>0</v>
      </c>
      <c r="H32" s="115">
        <v>1</v>
      </c>
      <c r="J32" s="115">
        <v>5800</v>
      </c>
      <c r="K32" s="115">
        <v>0</v>
      </c>
      <c r="L32" s="115">
        <v>0</v>
      </c>
      <c r="N32" s="115">
        <v>4476</v>
      </c>
      <c r="O32" s="115">
        <v>0</v>
      </c>
      <c r="P32" s="115">
        <v>1</v>
      </c>
      <c r="R32" s="115">
        <v>5250</v>
      </c>
      <c r="S32" s="115">
        <v>0</v>
      </c>
      <c r="T32" s="115">
        <v>0</v>
      </c>
      <c r="V32" s="115">
        <v>4850</v>
      </c>
      <c r="W32" s="115">
        <v>0</v>
      </c>
      <c r="X32" s="115">
        <v>0</v>
      </c>
      <c r="Z32" s="169">
        <v>3550</v>
      </c>
      <c r="AA32" s="169">
        <v>0</v>
      </c>
      <c r="AB32" s="169">
        <v>0</v>
      </c>
      <c r="AC32" s="136">
        <v>1</v>
      </c>
      <c r="AD32" s="169">
        <f>VLOOKUP(B32,[4]PCS!$D$1:$E$65536,2,0)</f>
        <v>4800</v>
      </c>
      <c r="AE32" s="169">
        <f>VLOOKUP(B32,[4]PCS!$D$1:$F$65536,3,0)</f>
        <v>0</v>
      </c>
      <c r="AF32" s="169">
        <f>VLOOKUP(B32,[4]PCS!$D$1:$G$65536,4,0)</f>
        <v>0</v>
      </c>
      <c r="AG32" s="136">
        <v>1</v>
      </c>
      <c r="AH32" s="169">
        <f>VLOOKUP(C32,[5]Sheet1!$C$1:$D$65536,2,0)</f>
        <v>5315</v>
      </c>
      <c r="AI32" s="169">
        <f>VLOOKUP(C32,[5]Sheet1!$C$1:$F$65536,3,0)</f>
        <v>0</v>
      </c>
      <c r="AJ32" s="169">
        <f>VLOOKUP(C32,[5]Sheet1!$C$1:$F$65536,4,0)</f>
        <v>1</v>
      </c>
      <c r="AK32" s="175"/>
      <c r="AL32" s="169"/>
      <c r="AM32" s="169"/>
      <c r="AN32" s="169"/>
      <c r="AP32" s="169"/>
      <c r="AQ32" s="169"/>
      <c r="AR32" s="169"/>
      <c r="AT32" s="169"/>
      <c r="AU32" s="169"/>
      <c r="AV32" s="169"/>
      <c r="AX32" s="169"/>
      <c r="AY32" s="169"/>
      <c r="AZ32" s="169"/>
    </row>
    <row r="33" spans="1:52" x14ac:dyDescent="0.25">
      <c r="A33" s="113">
        <v>30</v>
      </c>
      <c r="B33" s="125" t="s">
        <v>155</v>
      </c>
      <c r="C33" s="125" t="s">
        <v>156</v>
      </c>
      <c r="D33" s="113" t="s">
        <v>60</v>
      </c>
      <c r="F33" s="115">
        <v>1797</v>
      </c>
      <c r="G33" s="115">
        <v>0</v>
      </c>
      <c r="H33" s="115">
        <v>3</v>
      </c>
      <c r="J33" s="115">
        <v>1080</v>
      </c>
      <c r="K33" s="115">
        <v>0</v>
      </c>
      <c r="L33" s="115">
        <v>0</v>
      </c>
      <c r="N33" s="115">
        <v>1191</v>
      </c>
      <c r="O33" s="115">
        <v>0</v>
      </c>
      <c r="P33" s="115">
        <v>9</v>
      </c>
      <c r="R33" s="115">
        <v>810</v>
      </c>
      <c r="S33" s="115">
        <v>0</v>
      </c>
      <c r="T33" s="115">
        <v>0</v>
      </c>
      <c r="V33" s="115">
        <v>1602</v>
      </c>
      <c r="W33" s="115">
        <v>18</v>
      </c>
      <c r="X33" s="115">
        <v>0</v>
      </c>
      <c r="Z33" s="169">
        <v>1100</v>
      </c>
      <c r="AA33" s="169">
        <v>0</v>
      </c>
      <c r="AB33" s="169">
        <v>0</v>
      </c>
      <c r="AC33" s="136">
        <v>1</v>
      </c>
      <c r="AD33" s="169">
        <f>VLOOKUP(B33,[4]PCS!$D$1:$E$65536,2,0)</f>
        <v>1740</v>
      </c>
      <c r="AE33" s="169">
        <f>VLOOKUP(B33,[4]PCS!$D$1:$F$65536,3,0)</f>
        <v>0</v>
      </c>
      <c r="AF33" s="169">
        <f>VLOOKUP(B33,[4]PCS!$D$1:$G$65536,4,0)</f>
        <v>0</v>
      </c>
      <c r="AG33" s="136">
        <v>1</v>
      </c>
      <c r="AH33" s="169">
        <f>VLOOKUP(C33,[5]Sheet1!$C$1:$D$65536,2,0)</f>
        <v>1380</v>
      </c>
      <c r="AI33" s="169">
        <f>VLOOKUP(C33,[5]Sheet1!$C$1:$F$65536,3,0)</f>
        <v>0</v>
      </c>
      <c r="AJ33" s="169">
        <f>VLOOKUP(C33,[5]Sheet1!$C$1:$F$65536,4,0)</f>
        <v>0</v>
      </c>
      <c r="AK33" s="175"/>
      <c r="AL33" s="169"/>
      <c r="AM33" s="169"/>
      <c r="AN33" s="169"/>
      <c r="AP33" s="169"/>
      <c r="AQ33" s="169"/>
      <c r="AR33" s="169"/>
      <c r="AT33" s="169"/>
      <c r="AU33" s="169"/>
      <c r="AV33" s="169"/>
      <c r="AX33" s="169"/>
      <c r="AY33" s="169"/>
      <c r="AZ33" s="169"/>
    </row>
    <row r="34" spans="1:52" x14ac:dyDescent="0.25">
      <c r="A34" s="113">
        <v>31</v>
      </c>
      <c r="B34" s="125" t="s">
        <v>157</v>
      </c>
      <c r="C34" s="125" t="s">
        <v>158</v>
      </c>
      <c r="D34" s="113" t="s">
        <v>60</v>
      </c>
      <c r="F34" s="115">
        <v>1379</v>
      </c>
      <c r="G34" s="115">
        <v>0</v>
      </c>
      <c r="H34" s="115">
        <v>1</v>
      </c>
      <c r="J34" s="115">
        <v>1018</v>
      </c>
      <c r="K34" s="115">
        <v>0</v>
      </c>
      <c r="L34" s="115">
        <v>2</v>
      </c>
      <c r="N34" s="115">
        <v>1440</v>
      </c>
      <c r="O34" s="115">
        <v>0</v>
      </c>
      <c r="P34" s="115">
        <v>0</v>
      </c>
      <c r="R34" s="115">
        <v>792</v>
      </c>
      <c r="S34" s="115">
        <v>0</v>
      </c>
      <c r="T34" s="115">
        <v>0</v>
      </c>
      <c r="V34" s="115">
        <v>1740</v>
      </c>
      <c r="W34" s="115">
        <v>0</v>
      </c>
      <c r="X34" s="115">
        <v>0</v>
      </c>
      <c r="Z34" s="169">
        <v>1475</v>
      </c>
      <c r="AA34" s="169">
        <v>0</v>
      </c>
      <c r="AB34" s="169">
        <v>0</v>
      </c>
      <c r="AC34" s="136">
        <v>1</v>
      </c>
      <c r="AD34" s="169">
        <f>VLOOKUP(B34,[4]PCS!$D$1:$E$65536,2,0)</f>
        <v>1500</v>
      </c>
      <c r="AE34" s="169">
        <f>VLOOKUP(B34,[4]PCS!$D$1:$F$65536,3,0)</f>
        <v>0</v>
      </c>
      <c r="AF34" s="169">
        <f>VLOOKUP(B34,[4]PCS!$D$1:$G$65536,4,0)</f>
        <v>0</v>
      </c>
      <c r="AG34" s="136">
        <v>1</v>
      </c>
      <c r="AH34" s="169">
        <f>VLOOKUP(C34,[5]Sheet1!$C$1:$D$65536,2,0)</f>
        <v>1380</v>
      </c>
      <c r="AI34" s="169">
        <f>VLOOKUP(C34,[5]Sheet1!$C$1:$F$65536,3,0)</f>
        <v>0</v>
      </c>
      <c r="AJ34" s="169">
        <f>VLOOKUP(C34,[5]Sheet1!$C$1:$F$65536,4,0)</f>
        <v>0</v>
      </c>
      <c r="AK34" s="175"/>
      <c r="AL34" s="169"/>
      <c r="AM34" s="169"/>
      <c r="AN34" s="169"/>
      <c r="AP34" s="169"/>
      <c r="AQ34" s="169"/>
      <c r="AR34" s="169"/>
      <c r="AT34" s="169"/>
      <c r="AU34" s="169"/>
      <c r="AV34" s="169"/>
      <c r="AX34" s="169"/>
      <c r="AY34" s="169"/>
      <c r="AZ34" s="169"/>
    </row>
    <row r="35" spans="1:52" x14ac:dyDescent="0.25">
      <c r="A35" s="113">
        <v>32</v>
      </c>
      <c r="B35" s="125" t="s">
        <v>159</v>
      </c>
      <c r="C35" s="125" t="s">
        <v>160</v>
      </c>
      <c r="D35" s="113" t="s">
        <v>60</v>
      </c>
      <c r="F35" s="115">
        <v>3120</v>
      </c>
      <c r="G35" s="115">
        <v>0</v>
      </c>
      <c r="H35" s="115">
        <v>3</v>
      </c>
      <c r="J35" s="115">
        <v>2220</v>
      </c>
      <c r="K35" s="115">
        <v>0</v>
      </c>
      <c r="L35" s="115">
        <v>2</v>
      </c>
      <c r="N35" s="115">
        <v>2320</v>
      </c>
      <c r="O35" s="115">
        <v>0</v>
      </c>
      <c r="P35" s="115">
        <v>0</v>
      </c>
      <c r="R35" s="115">
        <v>2160</v>
      </c>
      <c r="S35" s="115">
        <v>0</v>
      </c>
      <c r="T35" s="115">
        <v>0</v>
      </c>
      <c r="V35" s="115">
        <v>2980</v>
      </c>
      <c r="W35" s="115">
        <v>0</v>
      </c>
      <c r="X35" s="115">
        <v>0</v>
      </c>
      <c r="Z35" s="169">
        <v>2515</v>
      </c>
      <c r="AA35" s="169">
        <v>0</v>
      </c>
      <c r="AB35" s="169">
        <v>0</v>
      </c>
      <c r="AC35" s="136">
        <v>1</v>
      </c>
      <c r="AD35" s="169">
        <f>VLOOKUP(B35,[4]PCS!$D$1:$E$65536,2,0)</f>
        <v>3660</v>
      </c>
      <c r="AE35" s="169">
        <f>VLOOKUP(B35,[4]PCS!$D$1:$F$65536,3,0)</f>
        <v>0</v>
      </c>
      <c r="AF35" s="169">
        <f>VLOOKUP(B35,[4]PCS!$D$1:$G$65536,4,0)</f>
        <v>0</v>
      </c>
      <c r="AG35" s="136">
        <v>1</v>
      </c>
      <c r="AH35" s="169">
        <f>VLOOKUP(C35,[5]Sheet1!$C$1:$D$65536,2,0)</f>
        <v>2400</v>
      </c>
      <c r="AI35" s="169">
        <f>VLOOKUP(C35,[5]Sheet1!$C$1:$F$65536,3,0)</f>
        <v>0</v>
      </c>
      <c r="AJ35" s="169">
        <f>VLOOKUP(C35,[5]Sheet1!$C$1:$F$65536,4,0)</f>
        <v>0</v>
      </c>
      <c r="AK35" s="175"/>
      <c r="AL35" s="169"/>
      <c r="AM35" s="169"/>
      <c r="AN35" s="169"/>
      <c r="AP35" s="169"/>
      <c r="AQ35" s="169"/>
      <c r="AR35" s="169"/>
      <c r="AT35" s="169"/>
      <c r="AU35" s="169"/>
      <c r="AV35" s="169"/>
      <c r="AX35" s="169"/>
      <c r="AY35" s="169"/>
      <c r="AZ35" s="169"/>
    </row>
    <row r="36" spans="1:52" x14ac:dyDescent="0.25">
      <c r="A36" s="113">
        <v>33</v>
      </c>
      <c r="B36" s="125" t="s">
        <v>161</v>
      </c>
      <c r="C36" s="125" t="s">
        <v>162</v>
      </c>
      <c r="D36" s="113" t="s">
        <v>60</v>
      </c>
      <c r="F36" s="115">
        <v>1620</v>
      </c>
      <c r="G36" s="115">
        <v>0</v>
      </c>
      <c r="H36" s="115">
        <v>0</v>
      </c>
      <c r="J36" s="115">
        <v>900</v>
      </c>
      <c r="K36" s="115">
        <v>0</v>
      </c>
      <c r="L36" s="115">
        <v>0</v>
      </c>
      <c r="N36" s="115">
        <v>1080</v>
      </c>
      <c r="O36" s="115">
        <v>0</v>
      </c>
      <c r="P36" s="115">
        <v>0</v>
      </c>
      <c r="R36" s="115">
        <v>1006</v>
      </c>
      <c r="S36" s="115">
        <v>0</v>
      </c>
      <c r="T36" s="115">
        <v>0</v>
      </c>
      <c r="V36" s="115">
        <v>1716</v>
      </c>
      <c r="W36" s="115">
        <v>0</v>
      </c>
      <c r="X36" s="115">
        <v>0</v>
      </c>
      <c r="Z36" s="169">
        <v>1170</v>
      </c>
      <c r="AA36" s="169">
        <v>0</v>
      </c>
      <c r="AB36" s="169">
        <v>0</v>
      </c>
      <c r="AC36" s="136">
        <v>1</v>
      </c>
      <c r="AD36" s="169">
        <f>VLOOKUP(B36,[4]PCS!$D$1:$E$65536,2,0)</f>
        <v>1494</v>
      </c>
      <c r="AE36" s="169">
        <f>VLOOKUP(B36,[4]PCS!$D$1:$F$65536,3,0)</f>
        <v>0</v>
      </c>
      <c r="AF36" s="169">
        <f>VLOOKUP(B36,[4]PCS!$D$1:$G$65536,4,0)</f>
        <v>0</v>
      </c>
      <c r="AG36" s="136">
        <v>1</v>
      </c>
      <c r="AH36" s="169">
        <f>VLOOKUP(C36,[5]Sheet1!$C$1:$D$65536,2,0)</f>
        <v>1650</v>
      </c>
      <c r="AI36" s="169">
        <f>VLOOKUP(C36,[5]Sheet1!$C$1:$F$65536,3,0)</f>
        <v>0</v>
      </c>
      <c r="AJ36" s="169">
        <f>VLOOKUP(C36,[5]Sheet1!$C$1:$F$65536,4,0)</f>
        <v>0</v>
      </c>
      <c r="AK36" s="175"/>
      <c r="AL36" s="169"/>
      <c r="AM36" s="169"/>
      <c r="AN36" s="169"/>
      <c r="AP36" s="169"/>
      <c r="AQ36" s="169"/>
      <c r="AR36" s="169"/>
      <c r="AT36" s="169"/>
      <c r="AU36" s="169"/>
      <c r="AV36" s="169"/>
      <c r="AX36" s="169"/>
      <c r="AY36" s="169"/>
      <c r="AZ36" s="169"/>
    </row>
    <row r="37" spans="1:52" x14ac:dyDescent="0.25">
      <c r="A37" s="113">
        <v>34</v>
      </c>
      <c r="B37" s="125" t="s">
        <v>163</v>
      </c>
      <c r="C37" s="125" t="s">
        <v>164</v>
      </c>
      <c r="D37" s="113" t="s">
        <v>60</v>
      </c>
      <c r="F37" s="115">
        <v>1500</v>
      </c>
      <c r="G37" s="115">
        <v>0</v>
      </c>
      <c r="H37" s="115">
        <v>0</v>
      </c>
      <c r="J37" s="115">
        <v>1269</v>
      </c>
      <c r="K37" s="115">
        <v>0</v>
      </c>
      <c r="L37" s="115">
        <v>0</v>
      </c>
      <c r="N37" s="115">
        <v>1061</v>
      </c>
      <c r="O37" s="115">
        <v>0</v>
      </c>
      <c r="P37" s="115">
        <v>0</v>
      </c>
      <c r="R37" s="115">
        <v>1410</v>
      </c>
      <c r="S37" s="115">
        <v>0</v>
      </c>
      <c r="T37" s="115">
        <v>0</v>
      </c>
      <c r="V37" s="115">
        <v>1380</v>
      </c>
      <c r="W37" s="115">
        <v>0</v>
      </c>
      <c r="X37" s="115">
        <v>0</v>
      </c>
      <c r="Z37" s="169">
        <v>1650</v>
      </c>
      <c r="AA37" s="169">
        <v>0</v>
      </c>
      <c r="AB37" s="169">
        <v>0</v>
      </c>
      <c r="AC37" s="136">
        <v>1</v>
      </c>
      <c r="AD37" s="169">
        <f>VLOOKUP(B37,[4]PCS!$D$1:$E$65536,2,0)</f>
        <v>1766</v>
      </c>
      <c r="AE37" s="169">
        <f>VLOOKUP(B37,[4]PCS!$D$1:$F$65536,3,0)</f>
        <v>0</v>
      </c>
      <c r="AF37" s="169">
        <f>VLOOKUP(B37,[4]PCS!$D$1:$G$65536,4,0)</f>
        <v>0</v>
      </c>
      <c r="AG37" s="136">
        <v>1</v>
      </c>
      <c r="AH37" s="169">
        <f>VLOOKUP(C37,[5]Sheet1!$C$1:$D$65536,2,0)</f>
        <v>1200</v>
      </c>
      <c r="AI37" s="169">
        <f>VLOOKUP(C37,[5]Sheet1!$C$1:$F$65536,3,0)</f>
        <v>0</v>
      </c>
      <c r="AJ37" s="169">
        <f>VLOOKUP(C37,[5]Sheet1!$C$1:$F$65536,4,0)</f>
        <v>0</v>
      </c>
      <c r="AK37" s="175"/>
      <c r="AL37" s="169"/>
      <c r="AM37" s="169"/>
      <c r="AN37" s="169"/>
      <c r="AP37" s="169"/>
      <c r="AQ37" s="169"/>
      <c r="AR37" s="169"/>
      <c r="AT37" s="169"/>
      <c r="AU37" s="169"/>
      <c r="AV37" s="169"/>
      <c r="AX37" s="169"/>
      <c r="AY37" s="169"/>
      <c r="AZ37" s="169"/>
    </row>
    <row r="38" spans="1:52" x14ac:dyDescent="0.25">
      <c r="A38" s="113">
        <v>35</v>
      </c>
      <c r="B38" s="125" t="s">
        <v>165</v>
      </c>
      <c r="C38" s="125" t="s">
        <v>166</v>
      </c>
      <c r="D38" s="113" t="s">
        <v>60</v>
      </c>
      <c r="F38" s="115">
        <v>1500</v>
      </c>
      <c r="G38" s="115">
        <v>0</v>
      </c>
      <c r="H38" s="115">
        <v>0</v>
      </c>
      <c r="J38" s="115">
        <v>1128</v>
      </c>
      <c r="K38" s="115">
        <v>0</v>
      </c>
      <c r="L38" s="115">
        <v>0</v>
      </c>
      <c r="N38" s="115">
        <v>1141</v>
      </c>
      <c r="O38" s="115">
        <v>0</v>
      </c>
      <c r="P38" s="115">
        <v>0</v>
      </c>
      <c r="R38" s="115">
        <v>1170</v>
      </c>
      <c r="S38" s="115">
        <v>0</v>
      </c>
      <c r="T38" s="115">
        <v>4</v>
      </c>
      <c r="V38" s="115">
        <v>1485</v>
      </c>
      <c r="W38" s="115">
        <v>0</v>
      </c>
      <c r="X38" s="115">
        <v>0</v>
      </c>
      <c r="Z38" s="169">
        <v>1591</v>
      </c>
      <c r="AA38" s="169">
        <v>0</v>
      </c>
      <c r="AB38" s="169">
        <v>0</v>
      </c>
      <c r="AC38" s="136">
        <v>1</v>
      </c>
      <c r="AD38" s="169">
        <f>VLOOKUP(B38,[4]PCS!$D$1:$E$65536,2,0)</f>
        <v>1605</v>
      </c>
      <c r="AE38" s="169">
        <f>VLOOKUP(B38,[4]PCS!$D$1:$F$65536,3,0)</f>
        <v>0</v>
      </c>
      <c r="AF38" s="169">
        <f>VLOOKUP(B38,[4]PCS!$D$1:$G$65536,4,0)</f>
        <v>0</v>
      </c>
      <c r="AG38" s="136">
        <v>1</v>
      </c>
      <c r="AH38" s="169">
        <f>VLOOKUP(C38,[5]Sheet1!$C$1:$D$65536,2,0)</f>
        <v>1500</v>
      </c>
      <c r="AI38" s="169">
        <f>VLOOKUP(C38,[5]Sheet1!$C$1:$F$65536,3,0)</f>
        <v>0</v>
      </c>
      <c r="AJ38" s="169">
        <f>VLOOKUP(C38,[5]Sheet1!$C$1:$F$65536,4,0)</f>
        <v>0</v>
      </c>
      <c r="AK38" s="175"/>
      <c r="AL38" s="169"/>
      <c r="AM38" s="169"/>
      <c r="AN38" s="169"/>
      <c r="AP38" s="169"/>
      <c r="AQ38" s="169"/>
      <c r="AR38" s="169"/>
      <c r="AT38" s="169"/>
      <c r="AU38" s="169"/>
      <c r="AV38" s="169"/>
      <c r="AX38" s="169"/>
      <c r="AY38" s="169"/>
      <c r="AZ38" s="169"/>
    </row>
    <row r="39" spans="1:52" x14ac:dyDescent="0.25">
      <c r="A39" s="113">
        <v>36</v>
      </c>
      <c r="B39" s="125" t="s">
        <v>167</v>
      </c>
      <c r="C39" s="125" t="s">
        <v>168</v>
      </c>
      <c r="D39" s="113" t="s">
        <v>60</v>
      </c>
      <c r="F39" s="115">
        <v>1500</v>
      </c>
      <c r="G39" s="115">
        <v>0</v>
      </c>
      <c r="H39" s="115">
        <v>0</v>
      </c>
      <c r="J39" s="115">
        <v>1128</v>
      </c>
      <c r="K39" s="115">
        <v>0</v>
      </c>
      <c r="L39" s="115">
        <v>0</v>
      </c>
      <c r="N39" s="115">
        <v>1141</v>
      </c>
      <c r="O39" s="115">
        <v>0</v>
      </c>
      <c r="P39" s="115">
        <v>0</v>
      </c>
      <c r="R39" s="115">
        <v>1170</v>
      </c>
      <c r="S39" s="115">
        <v>0</v>
      </c>
      <c r="T39" s="115">
        <v>0</v>
      </c>
      <c r="V39" s="115">
        <v>1485</v>
      </c>
      <c r="W39" s="115">
        <v>0</v>
      </c>
      <c r="X39" s="115">
        <v>0</v>
      </c>
      <c r="Z39" s="169">
        <v>1591</v>
      </c>
      <c r="AA39" s="169">
        <v>0</v>
      </c>
      <c r="AB39" s="169">
        <v>0</v>
      </c>
      <c r="AC39" s="136">
        <v>1</v>
      </c>
      <c r="AD39" s="169">
        <f>VLOOKUP(B39,[4]PCS!$D$1:$E$65536,2,0)</f>
        <v>1605</v>
      </c>
      <c r="AE39" s="169">
        <f>VLOOKUP(B39,[4]PCS!$D$1:$F$65536,3,0)</f>
        <v>0</v>
      </c>
      <c r="AF39" s="169">
        <f>VLOOKUP(B39,[4]PCS!$D$1:$G$65536,4,0)</f>
        <v>0</v>
      </c>
      <c r="AG39" s="136">
        <v>1</v>
      </c>
      <c r="AH39" s="169">
        <f>VLOOKUP(C39,[5]Sheet1!$C$1:$D$65536,2,0)</f>
        <v>1500</v>
      </c>
      <c r="AI39" s="169">
        <f>VLOOKUP(C39,[5]Sheet1!$C$1:$F$65536,3,0)</f>
        <v>0</v>
      </c>
      <c r="AJ39" s="169">
        <f>VLOOKUP(C39,[5]Sheet1!$C$1:$F$65536,4,0)</f>
        <v>0</v>
      </c>
      <c r="AK39" s="175"/>
      <c r="AL39" s="169"/>
      <c r="AM39" s="169"/>
      <c r="AN39" s="169"/>
      <c r="AP39" s="169"/>
      <c r="AQ39" s="169"/>
      <c r="AR39" s="169"/>
      <c r="AT39" s="169"/>
      <c r="AU39" s="169"/>
      <c r="AV39" s="169"/>
      <c r="AX39" s="169"/>
      <c r="AY39" s="169"/>
      <c r="AZ39" s="169"/>
    </row>
    <row r="40" spans="1:52" x14ac:dyDescent="0.25">
      <c r="A40" s="113">
        <v>37</v>
      </c>
      <c r="B40" s="125" t="s">
        <v>169</v>
      </c>
      <c r="C40" s="125" t="s">
        <v>170</v>
      </c>
      <c r="D40" s="113" t="s">
        <v>60</v>
      </c>
      <c r="F40" s="115">
        <v>5400</v>
      </c>
      <c r="G40" s="115">
        <v>0</v>
      </c>
      <c r="H40" s="115">
        <v>0</v>
      </c>
      <c r="J40" s="115">
        <v>5300</v>
      </c>
      <c r="K40" s="115">
        <v>0</v>
      </c>
      <c r="L40" s="115">
        <v>0</v>
      </c>
      <c r="N40" s="115">
        <v>5800</v>
      </c>
      <c r="O40" s="115">
        <v>0</v>
      </c>
      <c r="P40" s="115">
        <v>0</v>
      </c>
      <c r="R40" s="115">
        <v>5350</v>
      </c>
      <c r="S40" s="115">
        <v>0</v>
      </c>
      <c r="T40" s="115">
        <v>0</v>
      </c>
      <c r="V40" s="115">
        <v>7250</v>
      </c>
      <c r="W40" s="115">
        <v>0</v>
      </c>
      <c r="X40" s="115">
        <v>0</v>
      </c>
      <c r="Z40" s="169">
        <v>6400</v>
      </c>
      <c r="AA40" s="169">
        <v>0</v>
      </c>
      <c r="AB40" s="169">
        <v>0</v>
      </c>
      <c r="AC40" s="136">
        <v>1</v>
      </c>
      <c r="AD40" s="169">
        <f>VLOOKUP(B40,[4]PCS!$D$1:$E$65536,2,0)</f>
        <v>7500</v>
      </c>
      <c r="AE40" s="169">
        <f>VLOOKUP(B40,[4]PCS!$D$1:$F$65536,3,0)</f>
        <v>0</v>
      </c>
      <c r="AF40" s="169">
        <f>VLOOKUP(B40,[4]PCS!$D$1:$G$65536,4,0)</f>
        <v>0</v>
      </c>
      <c r="AG40" s="136">
        <v>1</v>
      </c>
      <c r="AH40" s="169">
        <f>VLOOKUP(C40,[5]Sheet1!$C$1:$D$65536,2,0)</f>
        <v>6200</v>
      </c>
      <c r="AI40" s="169">
        <f>VLOOKUP(C40,[5]Sheet1!$C$1:$F$65536,3,0)</f>
        <v>0</v>
      </c>
      <c r="AJ40" s="169">
        <f>VLOOKUP(C40,[5]Sheet1!$C$1:$F$65536,4,0)</f>
        <v>0</v>
      </c>
      <c r="AK40" s="175"/>
      <c r="AL40" s="169"/>
      <c r="AM40" s="169"/>
      <c r="AN40" s="169"/>
      <c r="AP40" s="169"/>
      <c r="AQ40" s="169"/>
      <c r="AR40" s="169"/>
      <c r="AT40" s="169"/>
      <c r="AU40" s="169"/>
      <c r="AV40" s="169"/>
      <c r="AX40" s="169"/>
      <c r="AY40" s="169"/>
      <c r="AZ40" s="169"/>
    </row>
    <row r="41" spans="1:52" x14ac:dyDescent="0.25">
      <c r="A41" s="113">
        <v>38</v>
      </c>
      <c r="B41" s="125" t="s">
        <v>171</v>
      </c>
      <c r="C41" s="125" t="s">
        <v>172</v>
      </c>
      <c r="D41" s="113" t="s">
        <v>60</v>
      </c>
      <c r="F41" s="115">
        <v>5600</v>
      </c>
      <c r="G41" s="115">
        <v>0</v>
      </c>
      <c r="H41" s="115">
        <v>0</v>
      </c>
      <c r="J41" s="115">
        <v>5800</v>
      </c>
      <c r="K41" s="115">
        <v>0</v>
      </c>
      <c r="L41" s="115">
        <v>0</v>
      </c>
      <c r="N41" s="115">
        <v>5400</v>
      </c>
      <c r="O41" s="115">
        <v>0</v>
      </c>
      <c r="P41" s="115">
        <v>0</v>
      </c>
      <c r="R41" s="115">
        <v>5800</v>
      </c>
      <c r="S41" s="115">
        <v>0</v>
      </c>
      <c r="T41" s="115">
        <v>0</v>
      </c>
      <c r="V41" s="115">
        <v>6800</v>
      </c>
      <c r="W41" s="115">
        <v>0</v>
      </c>
      <c r="X41" s="115">
        <v>0</v>
      </c>
      <c r="Z41" s="169">
        <v>6900</v>
      </c>
      <c r="AA41" s="169">
        <v>0</v>
      </c>
      <c r="AB41" s="169">
        <v>0</v>
      </c>
      <c r="AC41" s="136">
        <v>1</v>
      </c>
      <c r="AD41" s="169">
        <f>VLOOKUP(B41,[4]PCS!$D$1:$E$65536,2,0)</f>
        <v>6800</v>
      </c>
      <c r="AE41" s="169">
        <f>VLOOKUP(B41,[4]PCS!$D$1:$F$65536,3,0)</f>
        <v>0</v>
      </c>
      <c r="AF41" s="169">
        <f>VLOOKUP(B41,[4]PCS!$D$1:$G$65536,4,0)</f>
        <v>0</v>
      </c>
      <c r="AG41" s="136">
        <v>1</v>
      </c>
      <c r="AH41" s="169">
        <f>VLOOKUP(C41,[5]Sheet1!$C$1:$D$65536,2,0)</f>
        <v>6600</v>
      </c>
      <c r="AI41" s="169">
        <f>VLOOKUP(C41,[5]Sheet1!$C$1:$F$65536,3,0)</f>
        <v>0</v>
      </c>
      <c r="AJ41" s="169">
        <f>VLOOKUP(C41,[5]Sheet1!$C$1:$F$65536,4,0)</f>
        <v>0</v>
      </c>
      <c r="AK41" s="175"/>
      <c r="AL41" s="169"/>
      <c r="AM41" s="169"/>
      <c r="AN41" s="169"/>
      <c r="AP41" s="169"/>
      <c r="AQ41" s="169"/>
      <c r="AR41" s="169"/>
      <c r="AT41" s="169"/>
      <c r="AU41" s="169"/>
      <c r="AV41" s="169"/>
      <c r="AX41" s="169"/>
      <c r="AY41" s="169"/>
      <c r="AZ41" s="169"/>
    </row>
    <row r="42" spans="1:52" x14ac:dyDescent="0.25">
      <c r="A42" s="113">
        <v>39</v>
      </c>
      <c r="B42" s="125" t="s">
        <v>173</v>
      </c>
      <c r="C42" s="125" t="s">
        <v>174</v>
      </c>
      <c r="D42" s="113" t="s">
        <v>60</v>
      </c>
      <c r="F42" s="115">
        <v>5600</v>
      </c>
      <c r="G42" s="115">
        <v>0</v>
      </c>
      <c r="H42" s="115">
        <v>0</v>
      </c>
      <c r="J42" s="115">
        <v>5800</v>
      </c>
      <c r="K42" s="115">
        <v>0</v>
      </c>
      <c r="L42" s="115">
        <v>0</v>
      </c>
      <c r="N42" s="115">
        <v>5400</v>
      </c>
      <c r="O42" s="115">
        <v>0</v>
      </c>
      <c r="P42" s="115">
        <v>0</v>
      </c>
      <c r="R42" s="115">
        <v>5800</v>
      </c>
      <c r="S42" s="115">
        <v>0</v>
      </c>
      <c r="T42" s="115">
        <v>0</v>
      </c>
      <c r="V42" s="115">
        <v>6800</v>
      </c>
      <c r="W42" s="115">
        <v>0</v>
      </c>
      <c r="X42" s="115">
        <v>0</v>
      </c>
      <c r="Z42" s="169">
        <v>6400</v>
      </c>
      <c r="AA42" s="169">
        <v>0</v>
      </c>
      <c r="AB42" s="169">
        <v>0</v>
      </c>
      <c r="AC42" s="136">
        <v>1</v>
      </c>
      <c r="AD42" s="169">
        <f>VLOOKUP(B42,[4]PCS!$D$1:$E$65536,2,0)</f>
        <v>6800</v>
      </c>
      <c r="AE42" s="169">
        <f>VLOOKUP(B42,[4]PCS!$D$1:$F$65536,3,0)</f>
        <v>0</v>
      </c>
      <c r="AF42" s="169">
        <f>VLOOKUP(B42,[4]PCS!$D$1:$G$65536,4,0)</f>
        <v>0</v>
      </c>
      <c r="AG42" s="136">
        <v>1</v>
      </c>
      <c r="AH42" s="169">
        <f>VLOOKUP(C42,[5]Sheet1!$C$1:$D$65536,2,0)</f>
        <v>6600</v>
      </c>
      <c r="AI42" s="169">
        <f>VLOOKUP(C42,[5]Sheet1!$C$1:$F$65536,3,0)</f>
        <v>0</v>
      </c>
      <c r="AJ42" s="169">
        <f>VLOOKUP(C42,[5]Sheet1!$C$1:$F$65536,4,0)</f>
        <v>0</v>
      </c>
      <c r="AK42" s="175"/>
      <c r="AL42" s="169"/>
      <c r="AM42" s="169"/>
      <c r="AN42" s="169"/>
      <c r="AP42" s="169"/>
      <c r="AQ42" s="169"/>
      <c r="AR42" s="169"/>
      <c r="AT42" s="169"/>
      <c r="AU42" s="169"/>
      <c r="AV42" s="169"/>
      <c r="AX42" s="169"/>
      <c r="AY42" s="169"/>
      <c r="AZ42" s="169"/>
    </row>
    <row r="43" spans="1:52" x14ac:dyDescent="0.25">
      <c r="A43" s="113">
        <v>40</v>
      </c>
      <c r="B43" s="125" t="s">
        <v>175</v>
      </c>
      <c r="C43" s="125" t="s">
        <v>176</v>
      </c>
      <c r="D43" s="113" t="s">
        <v>60</v>
      </c>
      <c r="F43" s="115">
        <v>8760</v>
      </c>
      <c r="G43" s="115">
        <v>0</v>
      </c>
      <c r="H43" s="115">
        <v>0</v>
      </c>
      <c r="J43" s="115">
        <v>8640</v>
      </c>
      <c r="K43" s="115">
        <v>0</v>
      </c>
      <c r="L43" s="115">
        <v>0</v>
      </c>
      <c r="N43" s="115">
        <v>8760</v>
      </c>
      <c r="O43" s="115">
        <v>0</v>
      </c>
      <c r="P43" s="115">
        <v>0</v>
      </c>
      <c r="R43" s="115">
        <v>6120</v>
      </c>
      <c r="S43" s="115">
        <v>0</v>
      </c>
      <c r="T43" s="115">
        <v>0</v>
      </c>
      <c r="V43" s="115">
        <v>8760</v>
      </c>
      <c r="W43" s="115">
        <v>0</v>
      </c>
      <c r="X43" s="115">
        <v>0</v>
      </c>
      <c r="Z43" s="169">
        <v>7680</v>
      </c>
      <c r="AA43" s="169">
        <v>0</v>
      </c>
      <c r="AB43" s="169">
        <v>0</v>
      </c>
      <c r="AC43" s="136">
        <v>1</v>
      </c>
      <c r="AD43" s="169">
        <f>VLOOKUP(B43,[4]PCS!$D$1:$E$65536,2,0)</f>
        <v>8640</v>
      </c>
      <c r="AE43" s="169">
        <f>VLOOKUP(B43,[4]PCS!$D$1:$F$65536,3,0)</f>
        <v>0</v>
      </c>
      <c r="AF43" s="169">
        <f>VLOOKUP(B43,[4]PCS!$D$1:$G$65536,4,0)</f>
        <v>0</v>
      </c>
      <c r="AG43" s="136">
        <v>1</v>
      </c>
      <c r="AH43" s="169">
        <f>VLOOKUP(C43,[5]Sheet1!$C$1:$D$65536,2,0)</f>
        <v>8460</v>
      </c>
      <c r="AI43" s="169">
        <f>VLOOKUP(C43,[5]Sheet1!$C$1:$F$65536,3,0)</f>
        <v>0</v>
      </c>
      <c r="AJ43" s="169">
        <f>VLOOKUP(C43,[5]Sheet1!$C$1:$F$65536,4,0)</f>
        <v>0</v>
      </c>
      <c r="AK43" s="175"/>
      <c r="AL43" s="169"/>
      <c r="AM43" s="169"/>
      <c r="AN43" s="169"/>
      <c r="AP43" s="169"/>
      <c r="AQ43" s="169"/>
      <c r="AR43" s="169"/>
      <c r="AT43" s="169"/>
      <c r="AU43" s="169"/>
      <c r="AV43" s="169"/>
      <c r="AX43" s="169"/>
      <c r="AY43" s="169"/>
      <c r="AZ43" s="169"/>
    </row>
    <row r="44" spans="1:52" x14ac:dyDescent="0.25">
      <c r="A44" s="113">
        <v>41</v>
      </c>
      <c r="B44" s="125" t="s">
        <v>177</v>
      </c>
      <c r="C44" s="125" t="s">
        <v>178</v>
      </c>
      <c r="D44" s="113" t="s">
        <v>60</v>
      </c>
      <c r="F44" s="115">
        <v>8760</v>
      </c>
      <c r="G44" s="115">
        <v>0</v>
      </c>
      <c r="H44" s="115">
        <v>0</v>
      </c>
      <c r="J44" s="115">
        <v>9120</v>
      </c>
      <c r="K44" s="115">
        <v>0</v>
      </c>
      <c r="L44" s="115">
        <v>0</v>
      </c>
      <c r="N44" s="115">
        <v>8760</v>
      </c>
      <c r="O44" s="115">
        <v>0</v>
      </c>
      <c r="P44" s="115">
        <v>0</v>
      </c>
      <c r="R44" s="115">
        <v>6120</v>
      </c>
      <c r="S44" s="115">
        <v>0</v>
      </c>
      <c r="T44" s="115">
        <v>0</v>
      </c>
      <c r="V44" s="115">
        <v>9000</v>
      </c>
      <c r="W44" s="115">
        <v>0</v>
      </c>
      <c r="X44" s="115">
        <v>0</v>
      </c>
      <c r="Z44" s="169">
        <v>7680</v>
      </c>
      <c r="AA44" s="169">
        <v>0</v>
      </c>
      <c r="AB44" s="169">
        <v>0</v>
      </c>
      <c r="AC44" s="136">
        <v>1</v>
      </c>
      <c r="AD44" s="169">
        <f>VLOOKUP(B44,[4]PCS!$D$1:$E$65536,2,0)</f>
        <v>8400</v>
      </c>
      <c r="AE44" s="169">
        <f>VLOOKUP(B44,[4]PCS!$D$1:$F$65536,3,0)</f>
        <v>0</v>
      </c>
      <c r="AF44" s="169">
        <f>VLOOKUP(B44,[4]PCS!$D$1:$G$65536,4,0)</f>
        <v>0</v>
      </c>
      <c r="AG44" s="136">
        <v>1</v>
      </c>
      <c r="AH44" s="169">
        <f>VLOOKUP(C44,[5]Sheet1!$C$1:$D$65536,2,0)</f>
        <v>8400</v>
      </c>
      <c r="AI44" s="169">
        <f>VLOOKUP(C44,[5]Sheet1!$C$1:$F$65536,3,0)</f>
        <v>0</v>
      </c>
      <c r="AJ44" s="169">
        <f>VLOOKUP(C44,[5]Sheet1!$C$1:$F$65536,4,0)</f>
        <v>0</v>
      </c>
      <c r="AK44" s="175"/>
      <c r="AL44" s="169"/>
      <c r="AM44" s="169"/>
      <c r="AN44" s="169"/>
      <c r="AP44" s="169"/>
      <c r="AQ44" s="169"/>
      <c r="AR44" s="169"/>
      <c r="AT44" s="169"/>
      <c r="AU44" s="169"/>
      <c r="AV44" s="169"/>
      <c r="AX44" s="169"/>
      <c r="AY44" s="169"/>
      <c r="AZ44" s="169"/>
    </row>
    <row r="45" spans="1:52" x14ac:dyDescent="0.25">
      <c r="A45" s="113">
        <v>42</v>
      </c>
      <c r="B45" s="125" t="s">
        <v>524</v>
      </c>
      <c r="C45" s="125" t="s">
        <v>523</v>
      </c>
      <c r="D45" s="113" t="s">
        <v>60</v>
      </c>
      <c r="F45" s="115"/>
      <c r="G45" s="115"/>
      <c r="H45" s="115"/>
      <c r="J45" s="115"/>
      <c r="K45" s="115"/>
      <c r="L45" s="115"/>
      <c r="N45" s="115">
        <v>130</v>
      </c>
      <c r="O45" s="115">
        <v>0</v>
      </c>
      <c r="P45" s="115">
        <v>0</v>
      </c>
      <c r="R45" s="115"/>
      <c r="S45" s="115"/>
      <c r="T45" s="115"/>
      <c r="V45" s="115"/>
      <c r="W45" s="115"/>
      <c r="X45" s="115"/>
      <c r="Z45" s="169">
        <v>2805</v>
      </c>
      <c r="AA45" s="169">
        <v>0</v>
      </c>
      <c r="AB45" s="169">
        <v>1</v>
      </c>
      <c r="AC45" s="136">
        <v>1</v>
      </c>
      <c r="AD45" s="169">
        <f>VLOOKUP(B45,[4]PCS!$D$1:$E$65536,2,0)</f>
        <v>3300</v>
      </c>
      <c r="AE45" s="169">
        <f>VLOOKUP(B45,[4]PCS!$D$1:$F$65536,3,0)</f>
        <v>0</v>
      </c>
      <c r="AF45" s="169">
        <f>VLOOKUP(B45,[4]PCS!$D$1:$G$65536,4,0)</f>
        <v>0</v>
      </c>
      <c r="AG45" s="136">
        <v>1</v>
      </c>
      <c r="AH45" s="169"/>
      <c r="AI45" s="169"/>
      <c r="AJ45" s="169"/>
      <c r="AK45" s="175"/>
      <c r="AL45" s="169"/>
      <c r="AM45" s="169"/>
      <c r="AN45" s="169"/>
      <c r="AP45" s="169"/>
      <c r="AQ45" s="169"/>
      <c r="AR45" s="169"/>
      <c r="AT45" s="169"/>
      <c r="AU45" s="169"/>
      <c r="AV45" s="169"/>
      <c r="AX45" s="169"/>
      <c r="AY45" s="169"/>
      <c r="AZ45" s="169"/>
    </row>
    <row r="46" spans="1:52" x14ac:dyDescent="0.25">
      <c r="A46" s="113">
        <v>43</v>
      </c>
      <c r="B46" s="125" t="s">
        <v>522</v>
      </c>
      <c r="C46" s="125" t="s">
        <v>521</v>
      </c>
      <c r="D46" s="113" t="s">
        <v>60</v>
      </c>
      <c r="F46" s="115"/>
      <c r="G46" s="115"/>
      <c r="H46" s="115"/>
      <c r="J46" s="115"/>
      <c r="K46" s="115"/>
      <c r="L46" s="115"/>
      <c r="N46" s="115">
        <v>2750</v>
      </c>
      <c r="O46" s="115">
        <v>0</v>
      </c>
      <c r="P46" s="115">
        <v>0</v>
      </c>
      <c r="R46" s="115">
        <v>4020</v>
      </c>
      <c r="S46" s="115">
        <v>0</v>
      </c>
      <c r="T46" s="115">
        <v>5</v>
      </c>
      <c r="V46" s="115">
        <v>3843</v>
      </c>
      <c r="W46" s="115">
        <v>0</v>
      </c>
      <c r="X46" s="115">
        <v>0</v>
      </c>
      <c r="Z46" s="169">
        <v>3085</v>
      </c>
      <c r="AA46" s="169">
        <v>0</v>
      </c>
      <c r="AB46" s="169">
        <v>0</v>
      </c>
      <c r="AC46" s="136">
        <v>1</v>
      </c>
      <c r="AD46" s="169">
        <f>VLOOKUP(B46,[4]PCS!$D$1:$E$65536,2,0)</f>
        <v>3800</v>
      </c>
      <c r="AE46" s="169">
        <f>VLOOKUP(B46,[4]PCS!$D$1:$F$65536,3,0)</f>
        <v>0</v>
      </c>
      <c r="AF46" s="169">
        <f>VLOOKUP(B46,[4]PCS!$D$1:$G$65536,4,0)</f>
        <v>0</v>
      </c>
      <c r="AG46" s="136">
        <v>1</v>
      </c>
      <c r="AH46" s="169">
        <f>VLOOKUP(C46,[5]Sheet1!$C$1:$D$65536,2,0)</f>
        <v>4127</v>
      </c>
      <c r="AI46" s="169">
        <f>VLOOKUP(C46,[5]Sheet1!$C$1:$F$65536,3,0)</f>
        <v>0</v>
      </c>
      <c r="AJ46" s="169">
        <f>VLOOKUP(C46,[5]Sheet1!$C$1:$F$65536,4,0)</f>
        <v>0</v>
      </c>
      <c r="AK46" s="175"/>
      <c r="AL46" s="169"/>
      <c r="AM46" s="169"/>
      <c r="AN46" s="169"/>
      <c r="AP46" s="169"/>
      <c r="AQ46" s="169"/>
      <c r="AR46" s="169"/>
      <c r="AT46" s="169"/>
      <c r="AU46" s="169"/>
      <c r="AV46" s="169"/>
      <c r="AX46" s="169"/>
      <c r="AY46" s="169"/>
      <c r="AZ46" s="169"/>
    </row>
    <row r="47" spans="1:52" x14ac:dyDescent="0.25">
      <c r="A47" s="113">
        <v>44</v>
      </c>
      <c r="B47" s="125" t="s">
        <v>520</v>
      </c>
      <c r="C47" s="125" t="s">
        <v>519</v>
      </c>
      <c r="D47" s="113" t="s">
        <v>60</v>
      </c>
      <c r="F47" s="115"/>
      <c r="G47" s="115"/>
      <c r="H47" s="115"/>
      <c r="J47" s="115"/>
      <c r="K47" s="115"/>
      <c r="L47" s="115"/>
      <c r="N47" s="115">
        <v>650</v>
      </c>
      <c r="O47" s="115">
        <v>0</v>
      </c>
      <c r="P47" s="115">
        <v>0</v>
      </c>
      <c r="R47" s="115">
        <v>952</v>
      </c>
      <c r="S47" s="115">
        <v>0</v>
      </c>
      <c r="T47" s="115">
        <v>0</v>
      </c>
      <c r="V47" s="115">
        <v>798</v>
      </c>
      <c r="W47" s="115">
        <v>0</v>
      </c>
      <c r="X47" s="115">
        <v>0</v>
      </c>
      <c r="Z47" s="169">
        <v>500</v>
      </c>
      <c r="AA47" s="169">
        <v>0</v>
      </c>
      <c r="AB47" s="169">
        <v>0</v>
      </c>
      <c r="AC47" s="136">
        <v>1</v>
      </c>
      <c r="AD47" s="169">
        <f>VLOOKUP(B47,[4]PCS!$D$1:$E$65536,2,0)</f>
        <v>861</v>
      </c>
      <c r="AE47" s="169">
        <f>VLOOKUP(B47,[4]PCS!$D$1:$F$65536,3,0)</f>
        <v>0</v>
      </c>
      <c r="AF47" s="169">
        <f>VLOOKUP(B47,[4]PCS!$D$1:$G$65536,4,0)</f>
        <v>0</v>
      </c>
      <c r="AG47" s="136">
        <v>1</v>
      </c>
      <c r="AH47" s="169">
        <f>VLOOKUP(C47,[5]Sheet1!$C$1:$D$65536,2,0)</f>
        <v>919</v>
      </c>
      <c r="AI47" s="169">
        <f>VLOOKUP(C47,[5]Sheet1!$C$1:$F$65536,3,0)</f>
        <v>0</v>
      </c>
      <c r="AJ47" s="169">
        <f>VLOOKUP(C47,[5]Sheet1!$C$1:$F$65536,4,0)</f>
        <v>0</v>
      </c>
      <c r="AK47" s="175"/>
      <c r="AL47" s="169"/>
      <c r="AM47" s="169"/>
      <c r="AN47" s="169"/>
      <c r="AP47" s="169"/>
      <c r="AQ47" s="169"/>
      <c r="AR47" s="169"/>
      <c r="AT47" s="169"/>
      <c r="AU47" s="169"/>
      <c r="AV47" s="169"/>
      <c r="AX47" s="169"/>
      <c r="AY47" s="169"/>
      <c r="AZ47" s="169"/>
    </row>
    <row r="48" spans="1:52" s="54" customFormat="1" x14ac:dyDescent="0.25">
      <c r="A48" s="113">
        <v>45</v>
      </c>
      <c r="B48" s="139" t="s">
        <v>532</v>
      </c>
      <c r="C48" s="139" t="s">
        <v>533</v>
      </c>
      <c r="D48" s="113" t="s">
        <v>60</v>
      </c>
      <c r="E48" s="127"/>
      <c r="F48" s="115"/>
      <c r="G48" s="115"/>
      <c r="H48" s="115"/>
      <c r="I48" s="127"/>
      <c r="J48" s="115"/>
      <c r="K48" s="115"/>
      <c r="L48" s="115"/>
      <c r="M48" s="127"/>
      <c r="N48" s="115"/>
      <c r="O48" s="115"/>
      <c r="P48" s="115"/>
      <c r="Q48" s="127"/>
      <c r="R48" s="115"/>
      <c r="S48" s="115"/>
      <c r="T48" s="115"/>
      <c r="U48" s="138"/>
      <c r="V48" s="115">
        <v>20</v>
      </c>
      <c r="W48" s="115">
        <v>0</v>
      </c>
      <c r="X48" s="115">
        <v>0</v>
      </c>
      <c r="Z48" s="169">
        <v>30</v>
      </c>
      <c r="AA48" s="169">
        <v>0</v>
      </c>
      <c r="AB48" s="169">
        <v>0</v>
      </c>
      <c r="AC48" s="136">
        <v>1</v>
      </c>
      <c r="AD48" s="169"/>
      <c r="AE48" s="169"/>
      <c r="AF48" s="169"/>
      <c r="AG48" s="136">
        <v>1</v>
      </c>
      <c r="AH48" s="169"/>
      <c r="AI48" s="169"/>
      <c r="AJ48" s="169"/>
      <c r="AK48" s="175"/>
      <c r="AL48" s="169"/>
      <c r="AM48" s="169"/>
      <c r="AN48" s="169"/>
      <c r="AO48" s="135"/>
      <c r="AP48" s="169"/>
      <c r="AQ48" s="169"/>
      <c r="AR48" s="169"/>
      <c r="AT48" s="169"/>
      <c r="AU48" s="169"/>
      <c r="AV48" s="169"/>
      <c r="AX48" s="169"/>
      <c r="AY48" s="169"/>
      <c r="AZ48" s="169"/>
    </row>
    <row r="49" spans="1:52" s="54" customFormat="1" x14ac:dyDescent="0.25">
      <c r="A49" s="113">
        <v>46</v>
      </c>
      <c r="B49" s="139" t="s">
        <v>534</v>
      </c>
      <c r="C49" s="139" t="s">
        <v>535</v>
      </c>
      <c r="D49" s="113" t="s">
        <v>60</v>
      </c>
      <c r="E49" s="127"/>
      <c r="F49" s="115"/>
      <c r="G49" s="115"/>
      <c r="H49" s="115"/>
      <c r="I49" s="127"/>
      <c r="J49" s="115"/>
      <c r="K49" s="115"/>
      <c r="L49" s="115"/>
      <c r="M49" s="127"/>
      <c r="N49" s="115"/>
      <c r="O49" s="115"/>
      <c r="P49" s="115"/>
      <c r="Q49" s="127"/>
      <c r="R49" s="115"/>
      <c r="S49" s="115"/>
      <c r="T49" s="115"/>
      <c r="U49" s="138"/>
      <c r="V49" s="115">
        <v>20</v>
      </c>
      <c r="W49" s="115">
        <v>0</v>
      </c>
      <c r="X49" s="115">
        <v>0</v>
      </c>
      <c r="Z49" s="169">
        <v>20</v>
      </c>
      <c r="AA49" s="169">
        <v>0</v>
      </c>
      <c r="AB49" s="169">
        <v>0</v>
      </c>
      <c r="AC49" s="136">
        <v>1</v>
      </c>
      <c r="AD49" s="169"/>
      <c r="AE49" s="169"/>
      <c r="AF49" s="169"/>
      <c r="AG49" s="136">
        <v>1</v>
      </c>
      <c r="AH49" s="169"/>
      <c r="AI49" s="169"/>
      <c r="AJ49" s="169"/>
      <c r="AK49" s="175"/>
      <c r="AL49" s="169"/>
      <c r="AM49" s="169"/>
      <c r="AN49" s="169"/>
      <c r="AO49" s="135"/>
      <c r="AP49" s="169"/>
      <c r="AQ49" s="169"/>
      <c r="AR49" s="169"/>
      <c r="AT49" s="169"/>
      <c r="AU49" s="169"/>
      <c r="AV49" s="169"/>
      <c r="AX49" s="169"/>
      <c r="AY49" s="169"/>
      <c r="AZ49" s="169"/>
    </row>
    <row r="50" spans="1:52" s="54" customFormat="1" x14ac:dyDescent="0.25">
      <c r="A50" s="113">
        <v>47</v>
      </c>
      <c r="B50" s="139" t="s">
        <v>536</v>
      </c>
      <c r="C50" s="139" t="s">
        <v>537</v>
      </c>
      <c r="D50" s="113" t="s">
        <v>60</v>
      </c>
      <c r="E50" s="127"/>
      <c r="F50" s="115"/>
      <c r="G50" s="115"/>
      <c r="H50" s="115"/>
      <c r="I50" s="127"/>
      <c r="J50" s="115"/>
      <c r="K50" s="115"/>
      <c r="L50" s="115"/>
      <c r="M50" s="127"/>
      <c r="N50" s="115"/>
      <c r="O50" s="115"/>
      <c r="P50" s="115"/>
      <c r="Q50" s="127"/>
      <c r="R50" s="115"/>
      <c r="S50" s="115"/>
      <c r="T50" s="115"/>
      <c r="U50" s="138"/>
      <c r="V50" s="115">
        <v>6160</v>
      </c>
      <c r="W50" s="115">
        <v>0</v>
      </c>
      <c r="X50" s="115">
        <v>0</v>
      </c>
      <c r="Z50" s="169"/>
      <c r="AA50" s="169"/>
      <c r="AB50" s="169"/>
      <c r="AC50" s="136">
        <v>1</v>
      </c>
      <c r="AD50" s="169"/>
      <c r="AE50" s="169"/>
      <c r="AF50" s="169"/>
      <c r="AG50" s="136">
        <v>1</v>
      </c>
      <c r="AH50" s="169"/>
      <c r="AI50" s="169"/>
      <c r="AJ50" s="169"/>
      <c r="AK50" s="175"/>
      <c r="AL50" s="169"/>
      <c r="AM50" s="169"/>
      <c r="AN50" s="169"/>
      <c r="AO50" s="135"/>
      <c r="AP50" s="169"/>
      <c r="AQ50" s="169"/>
      <c r="AR50" s="169"/>
      <c r="AT50" s="169"/>
      <c r="AU50" s="169"/>
      <c r="AV50" s="169"/>
      <c r="AX50" s="169"/>
      <c r="AY50" s="169"/>
      <c r="AZ50" s="169"/>
    </row>
    <row r="51" spans="1:52" s="54" customFormat="1" x14ac:dyDescent="0.25">
      <c r="A51" s="113">
        <v>48</v>
      </c>
      <c r="B51" s="139" t="s">
        <v>538</v>
      </c>
      <c r="C51" s="139" t="s">
        <v>539</v>
      </c>
      <c r="D51" s="113" t="s">
        <v>60</v>
      </c>
      <c r="E51" s="127"/>
      <c r="F51" s="115"/>
      <c r="G51" s="115"/>
      <c r="H51" s="115"/>
      <c r="I51" s="127"/>
      <c r="J51" s="115"/>
      <c r="K51" s="115"/>
      <c r="L51" s="115"/>
      <c r="M51" s="127"/>
      <c r="N51" s="115"/>
      <c r="O51" s="115"/>
      <c r="P51" s="115"/>
      <c r="Q51" s="127"/>
      <c r="R51" s="115"/>
      <c r="S51" s="115"/>
      <c r="T51" s="115"/>
      <c r="U51" s="138"/>
      <c r="V51" s="115">
        <v>6160</v>
      </c>
      <c r="W51" s="115">
        <v>0</v>
      </c>
      <c r="X51" s="115">
        <v>0</v>
      </c>
      <c r="Z51" s="169"/>
      <c r="AA51" s="169"/>
      <c r="AB51" s="169"/>
      <c r="AC51" s="136">
        <v>1</v>
      </c>
      <c r="AD51" s="169"/>
      <c r="AE51" s="169"/>
      <c r="AF51" s="169"/>
      <c r="AG51" s="136">
        <v>1</v>
      </c>
      <c r="AH51" s="169"/>
      <c r="AI51" s="169"/>
      <c r="AJ51" s="169"/>
      <c r="AK51" s="175"/>
      <c r="AL51" s="169"/>
      <c r="AM51" s="169"/>
      <c r="AN51" s="169"/>
      <c r="AO51" s="135"/>
      <c r="AP51" s="169"/>
      <c r="AQ51" s="169"/>
      <c r="AR51" s="169"/>
      <c r="AT51" s="169"/>
      <c r="AU51" s="169"/>
      <c r="AV51" s="169"/>
      <c r="AX51" s="169"/>
      <c r="AY51" s="169"/>
      <c r="AZ51" s="169"/>
    </row>
    <row r="52" spans="1:52" s="54" customFormat="1" x14ac:dyDescent="0.25">
      <c r="A52" s="113">
        <v>49</v>
      </c>
      <c r="B52" s="139" t="s">
        <v>540</v>
      </c>
      <c r="C52" s="139" t="s">
        <v>541</v>
      </c>
      <c r="D52" s="113" t="s">
        <v>60</v>
      </c>
      <c r="E52" s="127"/>
      <c r="F52" s="115"/>
      <c r="G52" s="115"/>
      <c r="H52" s="115"/>
      <c r="I52" s="127"/>
      <c r="J52" s="115"/>
      <c r="K52" s="115"/>
      <c r="L52" s="115"/>
      <c r="M52" s="127"/>
      <c r="N52" s="115"/>
      <c r="O52" s="115"/>
      <c r="P52" s="115"/>
      <c r="Q52" s="127"/>
      <c r="R52" s="115"/>
      <c r="S52" s="115"/>
      <c r="T52" s="115"/>
      <c r="U52" s="138"/>
      <c r="V52" s="115">
        <v>1820</v>
      </c>
      <c r="W52" s="115">
        <v>0</v>
      </c>
      <c r="X52" s="115">
        <v>0</v>
      </c>
      <c r="Z52" s="169"/>
      <c r="AA52" s="169"/>
      <c r="AB52" s="169"/>
      <c r="AC52" s="136">
        <v>1</v>
      </c>
      <c r="AD52" s="169"/>
      <c r="AE52" s="169"/>
      <c r="AF52" s="169"/>
      <c r="AG52" s="136">
        <v>1</v>
      </c>
      <c r="AH52" s="169"/>
      <c r="AI52" s="169"/>
      <c r="AJ52" s="169"/>
      <c r="AK52" s="175"/>
      <c r="AL52" s="169"/>
      <c r="AM52" s="169"/>
      <c r="AN52" s="169"/>
      <c r="AO52" s="135"/>
      <c r="AP52" s="169"/>
      <c r="AQ52" s="169"/>
      <c r="AR52" s="169"/>
      <c r="AT52" s="169"/>
      <c r="AU52" s="169"/>
      <c r="AV52" s="169"/>
      <c r="AX52" s="169"/>
      <c r="AY52" s="169"/>
      <c r="AZ52" s="169"/>
    </row>
    <row r="53" spans="1:52" s="54" customFormat="1" x14ac:dyDescent="0.25">
      <c r="A53" s="113">
        <v>50</v>
      </c>
      <c r="B53" s="139" t="s">
        <v>542</v>
      </c>
      <c r="C53" s="139" t="s">
        <v>543</v>
      </c>
      <c r="D53" s="113" t="s">
        <v>60</v>
      </c>
      <c r="E53" s="127"/>
      <c r="F53" s="115"/>
      <c r="G53" s="115"/>
      <c r="H53" s="115"/>
      <c r="I53" s="127"/>
      <c r="J53" s="115"/>
      <c r="K53" s="115"/>
      <c r="L53" s="115"/>
      <c r="M53" s="127"/>
      <c r="N53" s="115"/>
      <c r="O53" s="115"/>
      <c r="P53" s="115"/>
      <c r="Q53" s="127"/>
      <c r="R53" s="115"/>
      <c r="S53" s="115"/>
      <c r="T53" s="115"/>
      <c r="U53" s="138"/>
      <c r="V53" s="115">
        <v>1951</v>
      </c>
      <c r="W53" s="115">
        <v>0</v>
      </c>
      <c r="X53" s="115">
        <v>0</v>
      </c>
      <c r="Z53" s="169"/>
      <c r="AA53" s="169"/>
      <c r="AB53" s="169"/>
      <c r="AC53" s="136">
        <v>1</v>
      </c>
      <c r="AD53" s="169"/>
      <c r="AE53" s="169"/>
      <c r="AF53" s="169"/>
      <c r="AG53" s="136">
        <v>1</v>
      </c>
      <c r="AH53" s="169"/>
      <c r="AI53" s="169"/>
      <c r="AJ53" s="169"/>
      <c r="AK53" s="175"/>
      <c r="AL53" s="169"/>
      <c r="AM53" s="169"/>
      <c r="AN53" s="169"/>
      <c r="AO53" s="135"/>
      <c r="AP53" s="169"/>
      <c r="AQ53" s="169"/>
      <c r="AR53" s="169"/>
      <c r="AT53" s="169"/>
      <c r="AU53" s="169"/>
      <c r="AV53" s="169"/>
      <c r="AX53" s="169"/>
      <c r="AY53" s="169"/>
      <c r="AZ53" s="169"/>
    </row>
    <row r="54" spans="1:52" x14ac:dyDescent="0.25">
      <c r="A54" s="113">
        <v>51</v>
      </c>
      <c r="B54" s="125" t="s">
        <v>518</v>
      </c>
      <c r="C54" s="125" t="s">
        <v>517</v>
      </c>
      <c r="D54" s="113" t="s">
        <v>60</v>
      </c>
      <c r="F54" s="115"/>
      <c r="G54" s="115"/>
      <c r="H54" s="115"/>
      <c r="J54" s="115"/>
      <c r="K54" s="115"/>
      <c r="L54" s="115"/>
      <c r="N54" s="115">
        <v>300</v>
      </c>
      <c r="O54" s="115">
        <v>0</v>
      </c>
      <c r="P54" s="115">
        <v>0</v>
      </c>
      <c r="R54" s="115">
        <v>100</v>
      </c>
      <c r="S54" s="115">
        <v>0</v>
      </c>
      <c r="T54" s="115">
        <v>0</v>
      </c>
      <c r="V54" s="115">
        <v>384</v>
      </c>
      <c r="W54" s="115">
        <v>0</v>
      </c>
      <c r="X54" s="115">
        <v>0</v>
      </c>
      <c r="Z54" s="169">
        <v>302</v>
      </c>
      <c r="AA54" s="169">
        <v>0</v>
      </c>
      <c r="AB54" s="169">
        <v>0</v>
      </c>
      <c r="AC54" s="136">
        <v>1</v>
      </c>
      <c r="AD54" s="169">
        <f>VLOOKUP(B54,[4]PCS!$D$1:$E$65536,2,0)</f>
        <v>200</v>
      </c>
      <c r="AE54" s="169">
        <f>VLOOKUP(B54,[4]PCS!$D$1:$F$65536,3,0)</f>
        <v>0</v>
      </c>
      <c r="AF54" s="169">
        <f>VLOOKUP(B54,[4]PCS!$D$1:$G$65536,4,0)</f>
        <v>0</v>
      </c>
      <c r="AG54" s="136">
        <v>1</v>
      </c>
      <c r="AH54" s="169">
        <f>VLOOKUP(C54,[5]Sheet1!$C$1:$D$65536,2,0)</f>
        <v>200</v>
      </c>
      <c r="AI54" s="169">
        <f>VLOOKUP(C54,[5]Sheet1!$C$1:$F$65536,3,0)</f>
        <v>0</v>
      </c>
      <c r="AJ54" s="169">
        <f>VLOOKUP(C54,[5]Sheet1!$C$1:$F$65536,4,0)</f>
        <v>0</v>
      </c>
      <c r="AK54" s="175"/>
      <c r="AL54" s="169"/>
      <c r="AM54" s="169"/>
      <c r="AN54" s="169"/>
      <c r="AP54" s="169"/>
      <c r="AQ54" s="169"/>
      <c r="AR54" s="169"/>
      <c r="AT54" s="169"/>
      <c r="AU54" s="169"/>
      <c r="AV54" s="169"/>
      <c r="AX54" s="169"/>
      <c r="AY54" s="169"/>
      <c r="AZ54" s="169"/>
    </row>
    <row r="55" spans="1:52" x14ac:dyDescent="0.25">
      <c r="A55" s="113">
        <v>52</v>
      </c>
      <c r="B55" s="125" t="s">
        <v>179</v>
      </c>
      <c r="C55" s="125" t="s">
        <v>180</v>
      </c>
      <c r="D55" s="113" t="s">
        <v>60</v>
      </c>
      <c r="F55" s="115">
        <v>128</v>
      </c>
      <c r="G55" s="115">
        <v>16</v>
      </c>
      <c r="H55" s="115">
        <v>0</v>
      </c>
      <c r="J55" s="115">
        <v>0</v>
      </c>
      <c r="K55" s="115">
        <v>50</v>
      </c>
      <c r="L55" s="115">
        <v>0</v>
      </c>
      <c r="N55" s="115"/>
      <c r="O55" s="115"/>
      <c r="P55" s="115"/>
      <c r="R55" s="115"/>
      <c r="S55" s="115"/>
      <c r="T55" s="115"/>
      <c r="V55" s="115"/>
      <c r="W55" s="115"/>
      <c r="X55" s="115"/>
      <c r="Z55" s="169"/>
      <c r="AA55" s="169"/>
      <c r="AB55" s="169"/>
      <c r="AC55" s="136">
        <v>1</v>
      </c>
      <c r="AD55" s="169"/>
      <c r="AE55" s="169"/>
      <c r="AF55" s="169"/>
      <c r="AG55" s="136">
        <v>1</v>
      </c>
      <c r="AH55" s="169"/>
      <c r="AI55" s="169"/>
      <c r="AJ55" s="169"/>
      <c r="AK55" s="175"/>
      <c r="AL55" s="169"/>
      <c r="AM55" s="169"/>
      <c r="AN55" s="169"/>
      <c r="AP55" s="169"/>
      <c r="AQ55" s="169"/>
      <c r="AR55" s="169"/>
      <c r="AT55" s="169"/>
      <c r="AU55" s="169"/>
      <c r="AV55" s="169"/>
      <c r="AX55" s="169"/>
      <c r="AY55" s="169"/>
      <c r="AZ55" s="169"/>
    </row>
    <row r="56" spans="1:52" x14ac:dyDescent="0.25">
      <c r="A56" s="113">
        <v>53</v>
      </c>
      <c r="B56" s="125" t="s">
        <v>610</v>
      </c>
      <c r="C56" s="125" t="s">
        <v>612</v>
      </c>
      <c r="D56" s="113" t="s">
        <v>60</v>
      </c>
      <c r="F56" s="115"/>
      <c r="G56" s="115"/>
      <c r="H56" s="115"/>
      <c r="J56" s="115"/>
      <c r="K56" s="115"/>
      <c r="L56" s="115"/>
      <c r="N56" s="115"/>
      <c r="O56" s="115"/>
      <c r="P56" s="115"/>
      <c r="R56" s="115"/>
      <c r="S56" s="115"/>
      <c r="T56" s="115"/>
      <c r="V56" s="115"/>
      <c r="W56" s="115"/>
      <c r="X56" s="115"/>
      <c r="Z56" s="169">
        <v>124</v>
      </c>
      <c r="AA56" s="169">
        <v>0</v>
      </c>
      <c r="AB56" s="169">
        <v>1</v>
      </c>
      <c r="AC56" s="136">
        <v>1</v>
      </c>
      <c r="AD56" s="169">
        <f>VLOOKUP(B56,[4]PCS!$D$1:$E$65536,2,0)</f>
        <v>210</v>
      </c>
      <c r="AE56" s="169">
        <f>VLOOKUP(B56,[4]PCS!$D$1:$F$65536,3,0)</f>
        <v>0</v>
      </c>
      <c r="AF56" s="169">
        <f>VLOOKUP(B56,[4]PCS!$D$1:$G$65536,4,0)</f>
        <v>0</v>
      </c>
      <c r="AG56" s="136">
        <v>1</v>
      </c>
      <c r="AH56" s="169"/>
      <c r="AI56" s="169"/>
      <c r="AJ56" s="169"/>
      <c r="AK56" s="175"/>
      <c r="AL56" s="169"/>
      <c r="AM56" s="169"/>
      <c r="AN56" s="169"/>
      <c r="AP56" s="169"/>
      <c r="AQ56" s="169"/>
      <c r="AR56" s="169"/>
      <c r="AT56" s="169"/>
      <c r="AU56" s="169"/>
      <c r="AV56" s="169"/>
      <c r="AX56" s="169"/>
      <c r="AY56" s="169"/>
      <c r="AZ56" s="169"/>
    </row>
    <row r="57" spans="1:52" x14ac:dyDescent="0.25">
      <c r="A57" s="113">
        <v>54</v>
      </c>
      <c r="B57" s="125" t="s">
        <v>611</v>
      </c>
      <c r="C57" s="125" t="s">
        <v>613</v>
      </c>
      <c r="D57" s="113" t="s">
        <v>60</v>
      </c>
      <c r="F57" s="115"/>
      <c r="G57" s="115"/>
      <c r="H57" s="115"/>
      <c r="J57" s="115"/>
      <c r="K57" s="115"/>
      <c r="L57" s="115"/>
      <c r="N57" s="115"/>
      <c r="O57" s="115"/>
      <c r="P57" s="115"/>
      <c r="R57" s="115"/>
      <c r="S57" s="115"/>
      <c r="T57" s="115"/>
      <c r="V57" s="115"/>
      <c r="W57" s="115"/>
      <c r="X57" s="115"/>
      <c r="Z57" s="169">
        <v>428</v>
      </c>
      <c r="AA57" s="169">
        <v>0</v>
      </c>
      <c r="AB57" s="169">
        <v>1</v>
      </c>
      <c r="AC57" s="136">
        <v>1</v>
      </c>
      <c r="AD57" s="169">
        <v>1864</v>
      </c>
      <c r="AE57" s="169">
        <f>VLOOKUP(B57,[4]PCS!$D$1:$F$65536,3,0)</f>
        <v>0</v>
      </c>
      <c r="AF57" s="169">
        <v>0</v>
      </c>
      <c r="AG57" s="136">
        <v>1</v>
      </c>
      <c r="AH57" s="169"/>
      <c r="AI57" s="169"/>
      <c r="AJ57" s="169"/>
      <c r="AK57" s="175"/>
      <c r="AL57" s="169"/>
      <c r="AM57" s="169"/>
      <c r="AN57" s="169"/>
      <c r="AP57" s="169"/>
      <c r="AQ57" s="169"/>
      <c r="AR57" s="169"/>
      <c r="AT57" s="169"/>
      <c r="AU57" s="169"/>
      <c r="AV57" s="169"/>
      <c r="AX57" s="169"/>
      <c r="AY57" s="169"/>
      <c r="AZ57" s="169"/>
    </row>
    <row r="58" spans="1:52" x14ac:dyDescent="0.25">
      <c r="A58" s="113">
        <v>55</v>
      </c>
      <c r="B58" s="125" t="s">
        <v>614</v>
      </c>
      <c r="C58" s="125" t="s">
        <v>616</v>
      </c>
      <c r="D58" s="113" t="s">
        <v>60</v>
      </c>
      <c r="F58" s="115"/>
      <c r="G58" s="115"/>
      <c r="H58" s="115"/>
      <c r="J58" s="115"/>
      <c r="K58" s="115"/>
      <c r="L58" s="115"/>
      <c r="N58" s="115"/>
      <c r="O58" s="115"/>
      <c r="P58" s="115"/>
      <c r="R58" s="115"/>
      <c r="S58" s="115"/>
      <c r="T58" s="115"/>
      <c r="V58" s="115"/>
      <c r="W58" s="115"/>
      <c r="X58" s="115"/>
      <c r="Z58" s="169">
        <v>14</v>
      </c>
      <c r="AA58" s="169">
        <v>0</v>
      </c>
      <c r="AB58" s="169">
        <v>0</v>
      </c>
      <c r="AC58" s="136">
        <v>1</v>
      </c>
      <c r="AD58" s="169">
        <f>VLOOKUP(B58,[4]PCS!$D$1:$E$65536,2,0)</f>
        <v>41</v>
      </c>
      <c r="AE58" s="169">
        <f>VLOOKUP(B58,[4]PCS!$D$1:$F$65536,3,0)</f>
        <v>0</v>
      </c>
      <c r="AF58" s="169">
        <f>VLOOKUP(B58,[4]PCS!$D$1:$G$65536,4,0)</f>
        <v>0</v>
      </c>
      <c r="AG58" s="136">
        <v>1</v>
      </c>
      <c r="AH58" s="169"/>
      <c r="AI58" s="169"/>
      <c r="AJ58" s="169"/>
      <c r="AK58" s="175"/>
      <c r="AL58" s="169"/>
      <c r="AM58" s="169"/>
      <c r="AN58" s="169"/>
      <c r="AP58" s="169"/>
      <c r="AQ58" s="169"/>
      <c r="AR58" s="169"/>
      <c r="AT58" s="169"/>
      <c r="AU58" s="169"/>
      <c r="AV58" s="169"/>
      <c r="AX58" s="169"/>
      <c r="AY58" s="169"/>
      <c r="AZ58" s="169"/>
    </row>
    <row r="59" spans="1:52" x14ac:dyDescent="0.25">
      <c r="A59" s="113">
        <v>56</v>
      </c>
      <c r="B59" s="125" t="s">
        <v>615</v>
      </c>
      <c r="C59" s="125" t="s">
        <v>617</v>
      </c>
      <c r="D59" s="113" t="s">
        <v>60</v>
      </c>
      <c r="F59" s="115"/>
      <c r="G59" s="115"/>
      <c r="H59" s="115"/>
      <c r="J59" s="115"/>
      <c r="K59" s="115"/>
      <c r="L59" s="115"/>
      <c r="N59" s="115"/>
      <c r="O59" s="115"/>
      <c r="P59" s="115"/>
      <c r="R59" s="115"/>
      <c r="S59" s="115"/>
      <c r="T59" s="115"/>
      <c r="V59" s="115"/>
      <c r="W59" s="115"/>
      <c r="X59" s="115"/>
      <c r="Z59" s="169">
        <v>14</v>
      </c>
      <c r="AA59" s="169">
        <v>0</v>
      </c>
      <c r="AB59" s="169">
        <v>0</v>
      </c>
      <c r="AC59" s="136">
        <v>1</v>
      </c>
      <c r="AD59" s="169">
        <f>VLOOKUP(B59,[4]PCS!$D$1:$E$65536,2,0)</f>
        <v>41</v>
      </c>
      <c r="AE59" s="169">
        <f>VLOOKUP(B59,[4]PCS!$D$1:$F$65536,3,0)</f>
        <v>0</v>
      </c>
      <c r="AF59" s="169">
        <f>VLOOKUP(B59,[4]PCS!$D$1:$G$65536,4,0)</f>
        <v>0</v>
      </c>
      <c r="AG59" s="136">
        <v>1</v>
      </c>
      <c r="AH59" s="169"/>
      <c r="AI59" s="169"/>
      <c r="AJ59" s="169"/>
      <c r="AK59" s="175"/>
      <c r="AL59" s="169"/>
      <c r="AM59" s="169"/>
      <c r="AN59" s="169"/>
      <c r="AP59" s="169"/>
      <c r="AQ59" s="169"/>
      <c r="AR59" s="169"/>
      <c r="AT59" s="169"/>
      <c r="AU59" s="169"/>
      <c r="AV59" s="169"/>
      <c r="AX59" s="169"/>
      <c r="AY59" s="169"/>
      <c r="AZ59" s="169"/>
    </row>
    <row r="60" spans="1:52" x14ac:dyDescent="0.25">
      <c r="A60" s="113">
        <v>57</v>
      </c>
      <c r="B60" s="125" t="s">
        <v>618</v>
      </c>
      <c r="C60" s="125" t="s">
        <v>619</v>
      </c>
      <c r="D60" s="113" t="s">
        <v>60</v>
      </c>
      <c r="F60" s="115"/>
      <c r="G60" s="115"/>
      <c r="H60" s="115"/>
      <c r="J60" s="115"/>
      <c r="K60" s="115"/>
      <c r="L60" s="115"/>
      <c r="N60" s="115"/>
      <c r="O60" s="115"/>
      <c r="P60" s="115"/>
      <c r="R60" s="115"/>
      <c r="S60" s="115"/>
      <c r="T60" s="115"/>
      <c r="V60" s="115"/>
      <c r="W60" s="115"/>
      <c r="X60" s="115"/>
      <c r="Z60" s="169">
        <v>9</v>
      </c>
      <c r="AA60" s="169">
        <v>0</v>
      </c>
      <c r="AB60" s="169">
        <v>1</v>
      </c>
      <c r="AC60" s="136">
        <v>1</v>
      </c>
      <c r="AD60" s="169"/>
      <c r="AE60" s="169"/>
      <c r="AF60" s="169"/>
      <c r="AG60" s="136">
        <v>1</v>
      </c>
      <c r="AH60" s="169"/>
      <c r="AI60" s="169"/>
      <c r="AJ60" s="169"/>
      <c r="AK60" s="175"/>
      <c r="AL60" s="169"/>
      <c r="AM60" s="169"/>
      <c r="AN60" s="169"/>
      <c r="AP60" s="169"/>
      <c r="AQ60" s="169"/>
      <c r="AR60" s="169"/>
      <c r="AT60" s="169"/>
      <c r="AU60" s="169"/>
      <c r="AV60" s="169"/>
      <c r="AX60" s="169"/>
      <c r="AY60" s="169"/>
      <c r="AZ60" s="169"/>
    </row>
    <row r="61" spans="1:52" x14ac:dyDescent="0.25">
      <c r="A61" s="113">
        <v>58</v>
      </c>
      <c r="B61" s="125" t="s">
        <v>620</v>
      </c>
      <c r="C61" s="125" t="s">
        <v>621</v>
      </c>
      <c r="D61" s="113" t="s">
        <v>60</v>
      </c>
      <c r="F61" s="115"/>
      <c r="G61" s="115"/>
      <c r="H61" s="115"/>
      <c r="J61" s="115"/>
      <c r="K61" s="115"/>
      <c r="L61" s="115"/>
      <c r="N61" s="115"/>
      <c r="O61" s="115"/>
      <c r="P61" s="115"/>
      <c r="R61" s="115"/>
      <c r="S61" s="115"/>
      <c r="T61" s="115"/>
      <c r="V61" s="115"/>
      <c r="W61" s="115"/>
      <c r="X61" s="115"/>
      <c r="Z61" s="169">
        <v>450</v>
      </c>
      <c r="AA61" s="169">
        <v>0</v>
      </c>
      <c r="AB61" s="169">
        <v>1</v>
      </c>
      <c r="AC61" s="136">
        <v>1</v>
      </c>
      <c r="AD61" s="169">
        <f>VLOOKUP(B61,[4]PCS!$D$1:$E$65536,2,0)</f>
        <v>2171</v>
      </c>
      <c r="AE61" s="169">
        <f>VLOOKUP(B61,[4]PCS!$D$1:$F$65536,3,0)</f>
        <v>14</v>
      </c>
      <c r="AF61" s="169">
        <f>VLOOKUP(B61,[4]PCS!$D$1:$G$65536,4,0)</f>
        <v>3</v>
      </c>
      <c r="AG61" s="136">
        <v>1</v>
      </c>
      <c r="AH61" s="169"/>
      <c r="AI61" s="169"/>
      <c r="AJ61" s="169"/>
      <c r="AK61" s="175"/>
      <c r="AL61" s="169"/>
      <c r="AM61" s="169"/>
      <c r="AN61" s="169"/>
      <c r="AP61" s="169"/>
      <c r="AQ61" s="169"/>
      <c r="AR61" s="169"/>
      <c r="AT61" s="169"/>
      <c r="AU61" s="169"/>
      <c r="AV61" s="169"/>
      <c r="AX61" s="169"/>
      <c r="AY61" s="169"/>
      <c r="AZ61" s="169"/>
    </row>
    <row r="62" spans="1:52" x14ac:dyDescent="0.25">
      <c r="A62" s="113">
        <v>59</v>
      </c>
      <c r="B62" s="125" t="s">
        <v>622</v>
      </c>
      <c r="C62" s="125" t="s">
        <v>623</v>
      </c>
      <c r="D62" s="113" t="s">
        <v>60</v>
      </c>
      <c r="F62" s="115"/>
      <c r="G62" s="115"/>
      <c r="H62" s="115"/>
      <c r="J62" s="115"/>
      <c r="K62" s="115"/>
      <c r="L62" s="115"/>
      <c r="N62" s="115"/>
      <c r="O62" s="115"/>
      <c r="P62" s="115"/>
      <c r="R62" s="115"/>
      <c r="S62" s="115"/>
      <c r="T62" s="115"/>
      <c r="V62" s="115"/>
      <c r="W62" s="115"/>
      <c r="X62" s="115"/>
      <c r="Z62" s="169">
        <v>300</v>
      </c>
      <c r="AA62" s="169">
        <v>0</v>
      </c>
      <c r="AB62" s="169">
        <v>0</v>
      </c>
      <c r="AC62" s="136">
        <v>1</v>
      </c>
      <c r="AD62" s="169"/>
      <c r="AE62" s="169"/>
      <c r="AF62" s="169"/>
      <c r="AG62" s="136">
        <v>1</v>
      </c>
      <c r="AH62" s="169"/>
      <c r="AI62" s="169"/>
      <c r="AJ62" s="169"/>
      <c r="AK62" s="175"/>
      <c r="AL62" s="169"/>
      <c r="AM62" s="169"/>
      <c r="AN62" s="169"/>
      <c r="AP62" s="169"/>
      <c r="AQ62" s="169"/>
      <c r="AR62" s="169"/>
      <c r="AT62" s="169"/>
      <c r="AU62" s="169"/>
      <c r="AV62" s="169"/>
      <c r="AX62" s="169"/>
      <c r="AY62" s="169"/>
      <c r="AZ62" s="169"/>
    </row>
    <row r="63" spans="1:52" x14ac:dyDescent="0.25">
      <c r="A63" s="113">
        <v>60</v>
      </c>
      <c r="B63" s="125" t="s">
        <v>647</v>
      </c>
      <c r="C63" s="125" t="s">
        <v>648</v>
      </c>
      <c r="D63" s="113" t="s">
        <v>60</v>
      </c>
      <c r="F63" s="115"/>
      <c r="G63" s="115"/>
      <c r="H63" s="115"/>
      <c r="J63" s="115"/>
      <c r="K63" s="115"/>
      <c r="L63" s="115"/>
      <c r="N63" s="115"/>
      <c r="O63" s="115"/>
      <c r="P63" s="115"/>
      <c r="R63" s="115"/>
      <c r="S63" s="115"/>
      <c r="T63" s="115"/>
      <c r="V63" s="115"/>
      <c r="W63" s="115"/>
      <c r="X63" s="115"/>
      <c r="Z63" s="169"/>
      <c r="AA63" s="169"/>
      <c r="AB63" s="169"/>
      <c r="AC63" s="136">
        <v>1</v>
      </c>
      <c r="AD63" s="169">
        <f>VLOOKUP(B63,[4]PCS!$D$1:$E$65536,2,0)</f>
        <v>9</v>
      </c>
      <c r="AE63" s="169">
        <f>VLOOKUP(B63,[4]PCS!$D$1:$F$65536,3,0)</f>
        <v>0</v>
      </c>
      <c r="AF63" s="169">
        <f>VLOOKUP(B63,[4]PCS!$D$1:$G$65536,4,0)</f>
        <v>0</v>
      </c>
      <c r="AG63" s="136">
        <v>1</v>
      </c>
      <c r="AH63" s="169"/>
      <c r="AI63" s="169"/>
      <c r="AJ63" s="169"/>
      <c r="AK63" s="175"/>
      <c r="AL63" s="169"/>
      <c r="AM63" s="169"/>
      <c r="AN63" s="169"/>
      <c r="AP63" s="169"/>
      <c r="AQ63" s="169"/>
      <c r="AR63" s="169"/>
      <c r="AT63" s="169"/>
      <c r="AU63" s="169"/>
      <c r="AV63" s="169"/>
      <c r="AX63" s="169"/>
      <c r="AY63" s="169"/>
      <c r="AZ63" s="169"/>
    </row>
    <row r="64" spans="1:52" x14ac:dyDescent="0.25">
      <c r="A64" s="113">
        <v>61</v>
      </c>
      <c r="B64" s="125" t="s">
        <v>493</v>
      </c>
      <c r="C64" s="125" t="s">
        <v>649</v>
      </c>
      <c r="D64" s="113" t="s">
        <v>60</v>
      </c>
      <c r="F64" s="115"/>
      <c r="G64" s="115"/>
      <c r="H64" s="115"/>
      <c r="J64" s="115"/>
      <c r="K64" s="115"/>
      <c r="L64" s="115"/>
      <c r="N64" s="115"/>
      <c r="O64" s="115"/>
      <c r="P64" s="115"/>
      <c r="R64" s="115"/>
      <c r="S64" s="115"/>
      <c r="T64" s="115"/>
      <c r="V64" s="115"/>
      <c r="W64" s="115"/>
      <c r="X64" s="115"/>
      <c r="Z64" s="169"/>
      <c r="AA64" s="169"/>
      <c r="AB64" s="169"/>
      <c r="AC64" s="136"/>
      <c r="AD64" s="169">
        <f>VLOOKUP(B64,[4]PCS!$D$1:$E$65536,2,0)</f>
        <v>13339</v>
      </c>
      <c r="AE64" s="169">
        <f>VLOOKUP(B64,[4]PCS!$D$1:$F$65536,3,0)</f>
        <v>0</v>
      </c>
      <c r="AF64" s="169">
        <f>VLOOKUP(B64,[4]PCS!$D$1:$G$65536,4,0)</f>
        <v>0</v>
      </c>
      <c r="AG64" s="136"/>
      <c r="AH64" s="169"/>
      <c r="AI64" s="169"/>
      <c r="AJ64" s="169"/>
      <c r="AK64" s="175"/>
      <c r="AL64" s="169"/>
      <c r="AM64" s="169"/>
      <c r="AN64" s="169"/>
      <c r="AP64" s="169"/>
      <c r="AQ64" s="169"/>
      <c r="AR64" s="169"/>
      <c r="AT64" s="169"/>
      <c r="AU64" s="169"/>
      <c r="AV64" s="169"/>
      <c r="AX64" s="169"/>
      <c r="AY64" s="169"/>
      <c r="AZ64" s="169"/>
    </row>
    <row r="65" spans="1:261" x14ac:dyDescent="0.25">
      <c r="A65" s="113">
        <v>62</v>
      </c>
      <c r="B65" s="125" t="s">
        <v>453</v>
      </c>
      <c r="C65" s="125" t="s">
        <v>650</v>
      </c>
      <c r="D65" s="113" t="s">
        <v>60</v>
      </c>
      <c r="F65" s="115"/>
      <c r="G65" s="115"/>
      <c r="H65" s="115"/>
      <c r="J65" s="115"/>
      <c r="K65" s="115"/>
      <c r="L65" s="115"/>
      <c r="N65" s="115"/>
      <c r="O65" s="115"/>
      <c r="P65" s="115"/>
      <c r="R65" s="115"/>
      <c r="S65" s="115"/>
      <c r="T65" s="115"/>
      <c r="V65" s="115"/>
      <c r="W65" s="115"/>
      <c r="X65" s="115"/>
      <c r="Z65" s="169"/>
      <c r="AA65" s="169"/>
      <c r="AB65" s="169"/>
      <c r="AC65" s="136"/>
      <c r="AD65" s="169">
        <f>VLOOKUP(B65,[4]PCS!$D$1:$E$65536,2,0)</f>
        <v>3000</v>
      </c>
      <c r="AE65" s="169">
        <f>VLOOKUP(B65,[4]PCS!$D$1:$F$65536,3,0)</f>
        <v>0</v>
      </c>
      <c r="AF65" s="169">
        <f>VLOOKUP(B65,[4]PCS!$D$1:$G$65536,4,0)</f>
        <v>0</v>
      </c>
      <c r="AG65" s="136"/>
      <c r="AH65" s="169"/>
      <c r="AI65" s="169"/>
      <c r="AJ65" s="169"/>
      <c r="AK65" s="175"/>
      <c r="AL65" s="169"/>
      <c r="AM65" s="169"/>
      <c r="AN65" s="169"/>
      <c r="AP65" s="169"/>
      <c r="AQ65" s="169"/>
      <c r="AR65" s="169"/>
      <c r="AT65" s="169"/>
      <c r="AU65" s="169"/>
      <c r="AV65" s="169"/>
      <c r="AX65" s="169"/>
      <c r="AY65" s="169"/>
      <c r="AZ65" s="169"/>
    </row>
    <row r="66" spans="1:261" x14ac:dyDescent="0.25">
      <c r="A66" s="113">
        <v>63</v>
      </c>
      <c r="B66" s="125" t="s">
        <v>651</v>
      </c>
      <c r="C66" s="125" t="s">
        <v>652</v>
      </c>
      <c r="D66" s="113" t="s">
        <v>60</v>
      </c>
      <c r="F66" s="115"/>
      <c r="G66" s="115"/>
      <c r="H66" s="115"/>
      <c r="J66" s="115"/>
      <c r="K66" s="115"/>
      <c r="L66" s="115"/>
      <c r="N66" s="115"/>
      <c r="O66" s="115"/>
      <c r="P66" s="115"/>
      <c r="R66" s="115"/>
      <c r="S66" s="115"/>
      <c r="T66" s="115"/>
      <c r="V66" s="115"/>
      <c r="W66" s="115"/>
      <c r="X66" s="115"/>
      <c r="Z66" s="169"/>
      <c r="AA66" s="169"/>
      <c r="AB66" s="169"/>
      <c r="AC66" s="136">
        <v>1</v>
      </c>
      <c r="AD66" s="169">
        <f>VLOOKUP(B66,[4]PCS!$D$1:$E$65536,2,0)</f>
        <v>3</v>
      </c>
      <c r="AE66" s="169">
        <f>VLOOKUP(B66,[4]PCS!$D$1:$F$65536,3,0)</f>
        <v>0</v>
      </c>
      <c r="AF66" s="169">
        <f>VLOOKUP(B66,[4]PCS!$D$1:$G$65536,4,0)</f>
        <v>0</v>
      </c>
      <c r="AG66" s="136">
        <v>1</v>
      </c>
      <c r="AH66" s="169"/>
      <c r="AI66" s="169"/>
      <c r="AJ66" s="169"/>
      <c r="AK66" s="175"/>
      <c r="AL66" s="169"/>
      <c r="AM66" s="169"/>
      <c r="AN66" s="169"/>
      <c r="AP66" s="169"/>
      <c r="AQ66" s="169"/>
      <c r="AR66" s="169"/>
      <c r="AT66" s="169"/>
      <c r="AU66" s="169"/>
      <c r="AV66" s="169"/>
      <c r="AX66" s="169"/>
      <c r="AY66" s="169"/>
      <c r="AZ66" s="169"/>
    </row>
    <row r="67" spans="1:261" x14ac:dyDescent="0.25">
      <c r="A67" s="124"/>
      <c r="B67" s="124"/>
      <c r="C67" s="133" t="s">
        <v>564</v>
      </c>
      <c r="D67" s="116" t="s">
        <v>59</v>
      </c>
      <c r="F67" s="116">
        <f>SUM(F4:F66)</f>
        <v>151819</v>
      </c>
      <c r="G67" s="116">
        <f>SUM(G4:G66)</f>
        <v>3148</v>
      </c>
      <c r="H67" s="116">
        <f>SUM(H4:H66)</f>
        <v>90</v>
      </c>
      <c r="J67" s="116">
        <f>SUM(J4:J55)</f>
        <v>151009</v>
      </c>
      <c r="K67" s="116">
        <f>SUM(K4:K55)</f>
        <v>3231</v>
      </c>
      <c r="L67" s="116">
        <f>SUM(L4:L55)</f>
        <v>77</v>
      </c>
      <c r="N67" s="116">
        <f>SUM(N4:N55)</f>
        <v>145370</v>
      </c>
      <c r="O67" s="116">
        <f>SUM(O4:O55)</f>
        <v>4838</v>
      </c>
      <c r="P67" s="116">
        <f>SUM(P4:P55)</f>
        <v>19</v>
      </c>
      <c r="R67" s="116">
        <f>SUM(R4:R55)</f>
        <v>110632</v>
      </c>
      <c r="S67" s="116">
        <f>SUM(S4:S55)</f>
        <v>3477</v>
      </c>
      <c r="T67" s="116">
        <f>SUM(T4:T55)</f>
        <v>31</v>
      </c>
      <c r="V67" s="116">
        <f>SUM(V4:V55)</f>
        <v>187721</v>
      </c>
      <c r="W67" s="116">
        <f>SUM(W4:W55)</f>
        <v>5506</v>
      </c>
      <c r="X67" s="116">
        <f>SUM(X4:X55)</f>
        <v>23</v>
      </c>
      <c r="Y67" s="134"/>
      <c r="Z67" s="116">
        <f>SUM(Z4:Z66)</f>
        <v>136822</v>
      </c>
      <c r="AA67" s="116">
        <f>SUM(AA4:AA66)</f>
        <v>6234</v>
      </c>
      <c r="AB67" s="116">
        <f>SUM(AB4:AB66)</f>
        <v>10</v>
      </c>
      <c r="AC67" s="134"/>
      <c r="AD67" s="116">
        <f>SUM(AD4:AD66)</f>
        <v>172983</v>
      </c>
      <c r="AE67" s="116">
        <f>SUM(AE4:AE66)</f>
        <v>1673</v>
      </c>
      <c r="AF67" s="116">
        <f>SUM(AF4:AF66)</f>
        <v>4</v>
      </c>
      <c r="AG67" s="134"/>
      <c r="AH67" s="116">
        <f>SUM(AH4:AH66)</f>
        <v>140021</v>
      </c>
      <c r="AI67" s="116">
        <f>SUM(AI4:AI66)</f>
        <v>356</v>
      </c>
      <c r="AJ67" s="116">
        <f>SUM(AJ4:AJ66)</f>
        <v>38</v>
      </c>
      <c r="AK67" s="176"/>
      <c r="AL67" s="116">
        <f>SUM(AL4:AL66)</f>
        <v>0</v>
      </c>
      <c r="AM67" s="116">
        <f>SUM(AM4:AM66)</f>
        <v>0</v>
      </c>
      <c r="AN67" s="116">
        <f>SUM(AN4:AN66)</f>
        <v>0</v>
      </c>
      <c r="AO67" s="134"/>
      <c r="AP67" s="116">
        <f>SUM(AP4:AP66)</f>
        <v>0</v>
      </c>
      <c r="AQ67" s="116">
        <f>SUM(AQ4:AQ66)</f>
        <v>0</v>
      </c>
      <c r="AR67" s="116">
        <f>SUM(AR4:AR66)</f>
        <v>0</v>
      </c>
      <c r="AS67" s="134"/>
      <c r="AT67" s="116">
        <f>SUM(AT4:AT66)</f>
        <v>0</v>
      </c>
      <c r="AU67" s="116">
        <f>SUM(AU4:AU66)</f>
        <v>0</v>
      </c>
      <c r="AV67" s="116">
        <f>SUM(AV4:AV66)</f>
        <v>0</v>
      </c>
      <c r="AW67" s="134"/>
      <c r="AX67" s="116">
        <f>SUM(AX4:AX66)</f>
        <v>0</v>
      </c>
      <c r="AY67" s="116">
        <f>SUM(AY4:AY66)</f>
        <v>0</v>
      </c>
      <c r="AZ67" s="116">
        <f>SUM(AZ4:AZ66)</f>
        <v>0</v>
      </c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134"/>
      <c r="DS67" s="134"/>
      <c r="DT67" s="134"/>
      <c r="DU67" s="134"/>
      <c r="DV67" s="134"/>
      <c r="DW67" s="134"/>
      <c r="DX67" s="134"/>
      <c r="DY67" s="134"/>
      <c r="DZ67" s="134"/>
      <c r="EA67" s="134"/>
      <c r="EB67" s="134"/>
      <c r="EC67" s="134"/>
      <c r="ED67" s="134"/>
      <c r="EE67" s="134"/>
      <c r="EF67" s="134"/>
      <c r="EG67" s="134"/>
      <c r="EH67" s="134"/>
      <c r="EI67" s="134"/>
      <c r="EJ67" s="134"/>
      <c r="EK67" s="134"/>
      <c r="EL67" s="134"/>
      <c r="EM67" s="134"/>
      <c r="EN67" s="134"/>
      <c r="EO67" s="134"/>
      <c r="EP67" s="134"/>
      <c r="EQ67" s="134"/>
      <c r="ER67" s="134"/>
      <c r="ES67" s="134"/>
      <c r="ET67" s="134"/>
      <c r="EU67" s="134"/>
      <c r="EV67" s="134"/>
      <c r="EW67" s="134"/>
      <c r="EX67" s="134"/>
      <c r="EY67" s="134"/>
      <c r="EZ67" s="134"/>
      <c r="FA67" s="134"/>
      <c r="FB67" s="134"/>
      <c r="FC67" s="134"/>
      <c r="FD67" s="134"/>
      <c r="FE67" s="134"/>
      <c r="FF67" s="134"/>
      <c r="FG67" s="134"/>
      <c r="FH67" s="134"/>
      <c r="FI67" s="134"/>
      <c r="FJ67" s="134"/>
      <c r="FK67" s="134"/>
      <c r="FL67" s="134"/>
      <c r="FM67" s="134"/>
      <c r="FN67" s="134"/>
      <c r="FO67" s="134"/>
      <c r="FP67" s="134"/>
      <c r="FQ67" s="134"/>
      <c r="FR67" s="134"/>
      <c r="FS67" s="134"/>
      <c r="FT67" s="134"/>
      <c r="FU67" s="134"/>
      <c r="FV67" s="134"/>
      <c r="FW67" s="134"/>
      <c r="FX67" s="134"/>
      <c r="FY67" s="134"/>
      <c r="FZ67" s="134"/>
      <c r="GA67" s="134"/>
      <c r="GB67" s="134"/>
      <c r="GC67" s="134"/>
      <c r="GD67" s="134"/>
      <c r="GE67" s="134"/>
      <c r="GF67" s="134"/>
      <c r="GG67" s="134"/>
      <c r="GH67" s="134"/>
      <c r="GI67" s="134"/>
      <c r="GJ67" s="134"/>
      <c r="GK67" s="134"/>
      <c r="GL67" s="134"/>
      <c r="GM67" s="134"/>
      <c r="GN67" s="134"/>
      <c r="GO67" s="134"/>
      <c r="GP67" s="134"/>
      <c r="GQ67" s="134"/>
      <c r="GR67" s="134"/>
      <c r="GS67" s="134"/>
      <c r="GT67" s="134"/>
      <c r="GU67" s="134"/>
      <c r="GV67" s="134"/>
      <c r="GW67" s="134"/>
      <c r="GX67" s="134"/>
      <c r="GY67" s="134"/>
      <c r="GZ67" s="134"/>
      <c r="HA67" s="134"/>
      <c r="HB67" s="134"/>
      <c r="HC67" s="134"/>
      <c r="HD67" s="134"/>
      <c r="HE67" s="134"/>
      <c r="HF67" s="134"/>
      <c r="HG67" s="134"/>
      <c r="HH67" s="134"/>
      <c r="HI67" s="134"/>
      <c r="HJ67" s="134"/>
      <c r="HK67" s="134"/>
      <c r="HL67" s="134"/>
      <c r="HM67" s="134"/>
      <c r="HN67" s="134"/>
      <c r="HO67" s="134"/>
      <c r="HP67" s="134"/>
      <c r="HQ67" s="134"/>
      <c r="HR67" s="134"/>
      <c r="HS67" s="134"/>
      <c r="HT67" s="134"/>
      <c r="HU67" s="134"/>
      <c r="HV67" s="134"/>
      <c r="HW67" s="134"/>
      <c r="HX67" s="134"/>
      <c r="HY67" s="134"/>
      <c r="HZ67" s="134"/>
      <c r="IA67" s="134"/>
      <c r="IB67" s="134"/>
      <c r="IC67" s="134"/>
      <c r="ID67" s="134"/>
      <c r="IE67" s="134"/>
      <c r="IF67" s="134"/>
      <c r="IG67" s="134"/>
      <c r="IH67" s="134"/>
      <c r="II67" s="134"/>
      <c r="IJ67" s="134"/>
      <c r="IK67" s="134"/>
      <c r="IL67" s="134"/>
      <c r="IM67" s="134"/>
      <c r="IN67" s="134"/>
      <c r="IO67" s="134"/>
      <c r="IP67" s="134"/>
      <c r="IQ67" s="134"/>
      <c r="IR67" s="134"/>
      <c r="IS67" s="134"/>
      <c r="IT67" s="134"/>
      <c r="IU67" s="134"/>
      <c r="IV67" s="134"/>
      <c r="IW67" s="134"/>
      <c r="IX67" s="134"/>
      <c r="IY67" s="134"/>
      <c r="IZ67" s="134"/>
      <c r="JA67" s="134"/>
    </row>
    <row r="68" spans="1:261" x14ac:dyDescent="0.25">
      <c r="A68" s="124"/>
      <c r="B68" s="124"/>
      <c r="C68" s="133" t="s">
        <v>64</v>
      </c>
      <c r="D68" s="117" t="s">
        <v>181</v>
      </c>
      <c r="F68" s="118">
        <f>F67/(F67+G67+H67)</f>
        <v>0.97911735684296741</v>
      </c>
      <c r="G68" s="118">
        <f>G67/(F67+G67+H67)</f>
        <v>2.0302211444823515E-2</v>
      </c>
      <c r="H68" s="118">
        <f>H67/(F67+G67+H67)</f>
        <v>5.8043171220905861E-4</v>
      </c>
      <c r="J68" s="118">
        <f>J67/(J67+K67+L67)</f>
        <v>0.97856360608358117</v>
      </c>
      <c r="K68" s="118">
        <f>K67/(J67+K67+L67)</f>
        <v>2.0937421022959233E-2</v>
      </c>
      <c r="L68" s="118">
        <f>L67/(J67+K67+L67)</f>
        <v>4.9897289345956694E-4</v>
      </c>
      <c r="N68" s="118">
        <f>N67/(N67+O67+P67)</f>
        <v>0.96766892768943003</v>
      </c>
      <c r="O68" s="118">
        <f>O67/(N67+O67+P67)</f>
        <v>3.2204597043141381E-2</v>
      </c>
      <c r="P68" s="118">
        <f>P67/(N67+O67+P67)</f>
        <v>1.2647526742862468E-4</v>
      </c>
      <c r="R68" s="118">
        <f>R67/(R67+S67+T67)</f>
        <v>0.96926581391273869</v>
      </c>
      <c r="S68" s="118">
        <f>S67/(R67+S67+T67)</f>
        <v>3.0462589801997546E-2</v>
      </c>
      <c r="T68" s="118">
        <f>T67/(R67+S67+T67)</f>
        <v>2.7159628526371123E-4</v>
      </c>
      <c r="V68" s="118">
        <f>V67/(V67+W67+X67)</f>
        <v>0.97138939197930141</v>
      </c>
      <c r="W68" s="118">
        <f>W67/(V67+W67+X67)</f>
        <v>2.8491591203104787E-2</v>
      </c>
      <c r="X68" s="118">
        <f>X67/(V67+W67+X67)</f>
        <v>1.1901681759379043E-4</v>
      </c>
      <c r="Y68" s="134"/>
      <c r="Z68" s="118">
        <f>Z67/(Z67+AA67+AB67)</f>
        <v>0.95635580780898322</v>
      </c>
      <c r="AA68" s="118">
        <f>AA67/(Z67+AA67+AB67)</f>
        <v>4.357429438161408E-2</v>
      </c>
      <c r="AB68" s="118">
        <f>AB67/(Z67+AA67+AB67)</f>
        <v>6.9897809402653325E-5</v>
      </c>
      <c r="AC68" s="134"/>
      <c r="AD68" s="118">
        <f>AD67/(AD67+AE67+AF67)</f>
        <v>0.99039848849192713</v>
      </c>
      <c r="AE68" s="118">
        <f>AE67/(AD67+AE67+AF67)</f>
        <v>9.578609870605749E-3</v>
      </c>
      <c r="AF68" s="118">
        <f>AF67/(AD67+AE67+AF67)</f>
        <v>2.2901637467078896E-5</v>
      </c>
      <c r="AG68" s="134"/>
      <c r="AH68" s="118">
        <f>AH67/(AH67+AI67+AJ67)</f>
        <v>0.99719403197664069</v>
      </c>
      <c r="AI68" s="118">
        <f>AI67/(AH67+AI67+AJ67)</f>
        <v>2.5353416657764483E-3</v>
      </c>
      <c r="AJ68" s="118">
        <f>AJ67/(AH67+AI67+AJ67)</f>
        <v>2.7062635758287932E-4</v>
      </c>
      <c r="AK68" s="177"/>
      <c r="AL68" s="118" t="e">
        <f>AL67/(AL67+AM67+AN67)</f>
        <v>#DIV/0!</v>
      </c>
      <c r="AM68" s="118" t="e">
        <f>AM67/(AL67+AM67+AN67)</f>
        <v>#DIV/0!</v>
      </c>
      <c r="AN68" s="118" t="e">
        <f>AN67/(AL67+AM67+AN67)</f>
        <v>#DIV/0!</v>
      </c>
      <c r="AO68" s="134"/>
      <c r="AP68" s="118" t="e">
        <f>AP67/(AP67+AQ67+AR67)</f>
        <v>#DIV/0!</v>
      </c>
      <c r="AQ68" s="118" t="e">
        <f>AQ67/(AP67+AQ67+AR67)</f>
        <v>#DIV/0!</v>
      </c>
      <c r="AR68" s="118" t="e">
        <f>AR67/(AP67+AQ67+AR67)</f>
        <v>#DIV/0!</v>
      </c>
      <c r="AS68" s="134"/>
      <c r="AT68" s="118" t="e">
        <f>AT67/(AT67+AU67+AV67)</f>
        <v>#DIV/0!</v>
      </c>
      <c r="AU68" s="118" t="e">
        <f>AU67/(AT67+AU67+AV67)</f>
        <v>#DIV/0!</v>
      </c>
      <c r="AV68" s="118" t="e">
        <f>AV67/(AT67+AU67+AV67)</f>
        <v>#DIV/0!</v>
      </c>
      <c r="AW68" s="134"/>
      <c r="AX68" s="118" t="e">
        <f>AX67/(AX67+AY67+AZ67)</f>
        <v>#DIV/0!</v>
      </c>
      <c r="AY68" s="118" t="e">
        <f>AY67/(AX67+AY67+AZ67)</f>
        <v>#DIV/0!</v>
      </c>
      <c r="AZ68" s="118" t="e">
        <f>AZ67/(AX67+AY67+AZ67)</f>
        <v>#DIV/0!</v>
      </c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134"/>
      <c r="DV68" s="134"/>
      <c r="DW68" s="134"/>
      <c r="DX68" s="134"/>
      <c r="DY68" s="134"/>
      <c r="DZ68" s="134"/>
      <c r="EA68" s="134"/>
      <c r="EB68" s="134"/>
      <c r="EC68" s="134"/>
      <c r="ED68" s="134"/>
      <c r="EE68" s="134"/>
      <c r="EF68" s="134"/>
      <c r="EG68" s="134"/>
      <c r="EH68" s="134"/>
      <c r="EI68" s="134"/>
      <c r="EJ68" s="134"/>
      <c r="EK68" s="134"/>
      <c r="EL68" s="134"/>
      <c r="EM68" s="134"/>
      <c r="EN68" s="134"/>
      <c r="EO68" s="134"/>
      <c r="EP68" s="134"/>
      <c r="EQ68" s="134"/>
      <c r="ER68" s="134"/>
      <c r="ES68" s="134"/>
      <c r="ET68" s="134"/>
      <c r="EU68" s="134"/>
      <c r="EV68" s="134"/>
      <c r="EW68" s="134"/>
      <c r="EX68" s="134"/>
      <c r="EY68" s="134"/>
      <c r="EZ68" s="134"/>
      <c r="FA68" s="134"/>
      <c r="FB68" s="134"/>
      <c r="FC68" s="134"/>
      <c r="FD68" s="134"/>
      <c r="FE68" s="134"/>
      <c r="FF68" s="134"/>
      <c r="FG68" s="134"/>
      <c r="FH68" s="134"/>
      <c r="FI68" s="134"/>
      <c r="FJ68" s="134"/>
      <c r="FK68" s="134"/>
      <c r="FL68" s="134"/>
      <c r="FM68" s="134"/>
      <c r="FN68" s="134"/>
      <c r="FO68" s="134"/>
      <c r="FP68" s="134"/>
      <c r="FQ68" s="134"/>
      <c r="FR68" s="134"/>
      <c r="FS68" s="134"/>
      <c r="FT68" s="134"/>
      <c r="FU68" s="134"/>
      <c r="FV68" s="134"/>
      <c r="FW68" s="134"/>
      <c r="FX68" s="134"/>
      <c r="FY68" s="134"/>
      <c r="FZ68" s="134"/>
      <c r="GA68" s="134"/>
      <c r="GB68" s="134"/>
      <c r="GC68" s="134"/>
      <c r="GD68" s="134"/>
      <c r="GE68" s="134"/>
      <c r="GF68" s="134"/>
      <c r="GG68" s="134"/>
      <c r="GH68" s="134"/>
      <c r="GI68" s="134"/>
      <c r="GJ68" s="134"/>
      <c r="GK68" s="134"/>
      <c r="GL68" s="134"/>
      <c r="GM68" s="134"/>
      <c r="GN68" s="134"/>
      <c r="GO68" s="134"/>
      <c r="GP68" s="134"/>
      <c r="GQ68" s="134"/>
      <c r="GR68" s="134"/>
      <c r="GS68" s="134"/>
      <c r="GT68" s="134"/>
      <c r="GU68" s="134"/>
      <c r="GV68" s="134"/>
      <c r="GW68" s="134"/>
      <c r="GX68" s="134"/>
      <c r="GY68" s="134"/>
      <c r="GZ68" s="134"/>
      <c r="HA68" s="134"/>
      <c r="HB68" s="134"/>
      <c r="HC68" s="134"/>
      <c r="HD68" s="134"/>
      <c r="HE68" s="134"/>
      <c r="HF68" s="134"/>
      <c r="HG68" s="134"/>
      <c r="HH68" s="134"/>
      <c r="HI68" s="134"/>
      <c r="HJ68" s="134"/>
      <c r="HK68" s="134"/>
      <c r="HL68" s="134"/>
      <c r="HM68" s="134"/>
      <c r="HN68" s="134"/>
      <c r="HO68" s="134"/>
      <c r="HP68" s="134"/>
      <c r="HQ68" s="134"/>
      <c r="HR68" s="134"/>
      <c r="HS68" s="134"/>
      <c r="HT68" s="134"/>
      <c r="HU68" s="134"/>
      <c r="HV68" s="134"/>
      <c r="HW68" s="134"/>
      <c r="HX68" s="134"/>
      <c r="HY68" s="134"/>
      <c r="HZ68" s="134"/>
      <c r="IA68" s="134"/>
      <c r="IB68" s="134"/>
      <c r="IC68" s="134"/>
      <c r="ID68" s="134"/>
      <c r="IE68" s="134"/>
      <c r="IF68" s="134"/>
      <c r="IG68" s="134"/>
      <c r="IH68" s="134"/>
      <c r="II68" s="134"/>
      <c r="IJ68" s="134"/>
      <c r="IK68" s="134"/>
      <c r="IL68" s="134"/>
      <c r="IM68" s="134"/>
      <c r="IN68" s="134"/>
      <c r="IO68" s="134"/>
      <c r="IP68" s="134"/>
      <c r="IQ68" s="134"/>
      <c r="IR68" s="134"/>
      <c r="IS68" s="134"/>
      <c r="IT68" s="134"/>
      <c r="IU68" s="134"/>
      <c r="IV68" s="134"/>
      <c r="IW68" s="134"/>
      <c r="IX68" s="134"/>
      <c r="IY68" s="134"/>
      <c r="IZ68" s="134"/>
      <c r="JA68" s="134"/>
    </row>
    <row r="69" spans="1:261" x14ac:dyDescent="0.25">
      <c r="A69" s="131"/>
      <c r="B69" s="131"/>
      <c r="C69" s="131"/>
      <c r="D69" s="132"/>
      <c r="F69" s="118"/>
      <c r="G69" s="118"/>
      <c r="H69" s="118"/>
      <c r="J69" s="118"/>
      <c r="K69" s="118"/>
      <c r="L69" s="118"/>
      <c r="N69" s="118"/>
      <c r="O69" s="118"/>
      <c r="P69" s="118"/>
      <c r="R69" s="118"/>
      <c r="S69" s="118"/>
      <c r="T69" s="118"/>
      <c r="V69" s="118"/>
      <c r="W69" s="118"/>
      <c r="X69" s="118"/>
      <c r="Y69" s="134"/>
      <c r="Z69" s="118"/>
      <c r="AA69" s="118"/>
      <c r="AB69" s="118"/>
      <c r="AC69" s="134"/>
      <c r="AD69" s="118"/>
      <c r="AE69" s="118"/>
      <c r="AF69" s="118"/>
      <c r="AG69" s="134"/>
      <c r="AH69" s="118"/>
      <c r="AI69" s="118"/>
      <c r="AJ69" s="118"/>
      <c r="AK69" s="177"/>
      <c r="AL69" s="118"/>
      <c r="AM69" s="118"/>
      <c r="AN69" s="118"/>
      <c r="AO69" s="134"/>
      <c r="AP69" s="118"/>
      <c r="AQ69" s="118"/>
      <c r="AR69" s="118"/>
      <c r="AS69" s="134"/>
      <c r="AT69" s="118"/>
      <c r="AU69" s="118"/>
      <c r="AV69" s="118"/>
      <c r="AW69" s="134"/>
      <c r="AX69" s="118"/>
      <c r="AY69" s="118"/>
      <c r="AZ69" s="118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134"/>
      <c r="DV69" s="134"/>
      <c r="DW69" s="134"/>
      <c r="DX69" s="134"/>
      <c r="DY69" s="134"/>
      <c r="DZ69" s="134"/>
      <c r="EA69" s="134"/>
      <c r="EB69" s="134"/>
      <c r="EC69" s="134"/>
      <c r="ED69" s="134"/>
      <c r="EE69" s="134"/>
      <c r="EF69" s="134"/>
      <c r="EG69" s="134"/>
      <c r="EH69" s="134"/>
      <c r="EI69" s="134"/>
      <c r="EJ69" s="134"/>
      <c r="EK69" s="134"/>
      <c r="EL69" s="134"/>
      <c r="EM69" s="134"/>
      <c r="EN69" s="134"/>
      <c r="EO69" s="134"/>
      <c r="EP69" s="134"/>
      <c r="EQ69" s="134"/>
      <c r="ER69" s="134"/>
      <c r="ES69" s="134"/>
      <c r="ET69" s="134"/>
      <c r="EU69" s="134"/>
      <c r="EV69" s="134"/>
      <c r="EW69" s="134"/>
      <c r="EX69" s="134"/>
      <c r="EY69" s="134"/>
      <c r="EZ69" s="134"/>
      <c r="FA69" s="134"/>
      <c r="FB69" s="134"/>
      <c r="FC69" s="134"/>
      <c r="FD69" s="134"/>
      <c r="FE69" s="134"/>
      <c r="FF69" s="134"/>
      <c r="FG69" s="134"/>
      <c r="FH69" s="134"/>
      <c r="FI69" s="134"/>
      <c r="FJ69" s="134"/>
      <c r="FK69" s="134"/>
      <c r="FL69" s="134"/>
      <c r="FM69" s="134"/>
      <c r="FN69" s="134"/>
      <c r="FO69" s="134"/>
      <c r="FP69" s="134"/>
      <c r="FQ69" s="134"/>
      <c r="FR69" s="134"/>
      <c r="FS69" s="134"/>
      <c r="FT69" s="134"/>
      <c r="FU69" s="134"/>
      <c r="FV69" s="134"/>
      <c r="FW69" s="134"/>
      <c r="FX69" s="134"/>
      <c r="FY69" s="134"/>
      <c r="FZ69" s="134"/>
      <c r="GA69" s="134"/>
      <c r="GB69" s="134"/>
      <c r="GC69" s="134"/>
      <c r="GD69" s="134"/>
      <c r="GE69" s="134"/>
      <c r="GF69" s="134"/>
      <c r="GG69" s="134"/>
      <c r="GH69" s="134"/>
      <c r="GI69" s="134"/>
      <c r="GJ69" s="134"/>
      <c r="GK69" s="134"/>
      <c r="GL69" s="134"/>
      <c r="GM69" s="134"/>
      <c r="GN69" s="134"/>
      <c r="GO69" s="134"/>
      <c r="GP69" s="134"/>
      <c r="GQ69" s="134"/>
      <c r="GR69" s="134"/>
      <c r="GS69" s="134"/>
      <c r="GT69" s="134"/>
      <c r="GU69" s="134"/>
      <c r="GV69" s="134"/>
      <c r="GW69" s="134"/>
      <c r="GX69" s="134"/>
      <c r="GY69" s="134"/>
      <c r="GZ69" s="134"/>
      <c r="HA69" s="134"/>
      <c r="HB69" s="134"/>
      <c r="HC69" s="134"/>
      <c r="HD69" s="134"/>
      <c r="HE69" s="134"/>
      <c r="HF69" s="134"/>
      <c r="HG69" s="134"/>
      <c r="HH69" s="134"/>
      <c r="HI69" s="134"/>
      <c r="HJ69" s="134"/>
      <c r="HK69" s="134"/>
      <c r="HL69" s="134"/>
      <c r="HM69" s="134"/>
      <c r="HN69" s="134"/>
      <c r="HO69" s="134"/>
      <c r="HP69" s="134"/>
      <c r="HQ69" s="134"/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D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4"/>
      <c r="IO69" s="134"/>
      <c r="IP69" s="134"/>
      <c r="IQ69" s="134"/>
      <c r="IR69" s="134"/>
      <c r="IS69" s="134"/>
      <c r="IT69" s="134"/>
      <c r="IU69" s="134"/>
      <c r="IV69" s="134"/>
      <c r="IW69" s="134"/>
      <c r="IX69" s="134"/>
      <c r="IY69" s="134"/>
      <c r="IZ69" s="134"/>
      <c r="JA69" s="134"/>
    </row>
    <row r="70" spans="1:261" x14ac:dyDescent="0.25">
      <c r="A70" s="124"/>
      <c r="B70" s="124"/>
      <c r="C70" s="133" t="s">
        <v>565</v>
      </c>
      <c r="D70" s="116" t="s">
        <v>59</v>
      </c>
      <c r="F70" s="116">
        <f>F67</f>
        <v>151819</v>
      </c>
      <c r="G70" s="116">
        <f>G67</f>
        <v>3148</v>
      </c>
      <c r="H70" s="116">
        <f>H67</f>
        <v>90</v>
      </c>
      <c r="J70" s="116">
        <f>F70+J67</f>
        <v>302828</v>
      </c>
      <c r="K70" s="116">
        <f>G70+K67</f>
        <v>6379</v>
      </c>
      <c r="L70" s="116">
        <f>H70+L67</f>
        <v>167</v>
      </c>
      <c r="N70" s="116">
        <f>J70+N67</f>
        <v>448198</v>
      </c>
      <c r="O70" s="116">
        <f>K70+O67</f>
        <v>11217</v>
      </c>
      <c r="P70" s="116">
        <f>L70+P67</f>
        <v>186</v>
      </c>
      <c r="R70" s="116">
        <f>N70+R67</f>
        <v>558830</v>
      </c>
      <c r="S70" s="116">
        <f>O70+S67</f>
        <v>14694</v>
      </c>
      <c r="T70" s="116">
        <f>P70+T67</f>
        <v>217</v>
      </c>
      <c r="V70" s="116">
        <f>R70+V67</f>
        <v>746551</v>
      </c>
      <c r="W70" s="116">
        <f>S70+W67</f>
        <v>20200</v>
      </c>
      <c r="X70" s="116">
        <f>T70+X67</f>
        <v>240</v>
      </c>
      <c r="Y70" s="134"/>
      <c r="Z70" s="116">
        <f>V70+Z67</f>
        <v>883373</v>
      </c>
      <c r="AA70" s="116">
        <f>W70+AA67</f>
        <v>26434</v>
      </c>
      <c r="AB70" s="116">
        <f>X70+AB67</f>
        <v>250</v>
      </c>
      <c r="AC70" s="134"/>
      <c r="AD70" s="116">
        <f>Z70+AD67</f>
        <v>1056356</v>
      </c>
      <c r="AE70" s="116">
        <f>AA70+AE67</f>
        <v>28107</v>
      </c>
      <c r="AF70" s="116">
        <f>AB70+AF67</f>
        <v>254</v>
      </c>
      <c r="AG70" s="134"/>
      <c r="AH70" s="116">
        <f>AD70+AH67</f>
        <v>1196377</v>
      </c>
      <c r="AI70" s="116">
        <f>AE70+AI67</f>
        <v>28463</v>
      </c>
      <c r="AJ70" s="116">
        <f>AF70+AJ67</f>
        <v>292</v>
      </c>
      <c r="AK70" s="176"/>
      <c r="AL70" s="116">
        <f>AH70+AL67</f>
        <v>1196377</v>
      </c>
      <c r="AM70" s="116">
        <f>AI70+AM67</f>
        <v>28463</v>
      </c>
      <c r="AN70" s="116">
        <f>AJ70+AN67</f>
        <v>292</v>
      </c>
      <c r="AO70" s="134"/>
      <c r="AP70" s="116">
        <f>AL70+AP67</f>
        <v>1196377</v>
      </c>
      <c r="AQ70" s="116">
        <f>AM70+AQ67</f>
        <v>28463</v>
      </c>
      <c r="AR70" s="116">
        <f>AN70+AR67</f>
        <v>292</v>
      </c>
      <c r="AS70" s="134"/>
      <c r="AT70" s="116">
        <f>AP70+AT67</f>
        <v>1196377</v>
      </c>
      <c r="AU70" s="116">
        <f>AQ70+AU67</f>
        <v>28463</v>
      </c>
      <c r="AV70" s="116">
        <f>AR70+AV67</f>
        <v>292</v>
      </c>
      <c r="AW70" s="134"/>
      <c r="AX70" s="116">
        <f>AT70+AX67</f>
        <v>1196377</v>
      </c>
      <c r="AY70" s="116">
        <f>AU70+AY67</f>
        <v>28463</v>
      </c>
      <c r="AZ70" s="116">
        <f>AV70+AZ67</f>
        <v>292</v>
      </c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  <c r="EX70" s="134"/>
      <c r="EY70" s="134"/>
      <c r="EZ70" s="134"/>
      <c r="FA70" s="134"/>
      <c r="FB70" s="134"/>
      <c r="FC70" s="134"/>
      <c r="FD70" s="134"/>
      <c r="FE70" s="134"/>
      <c r="FF70" s="134"/>
      <c r="FG70" s="134"/>
      <c r="FH70" s="134"/>
      <c r="FI70" s="134"/>
      <c r="FJ70" s="134"/>
      <c r="FK70" s="134"/>
      <c r="FL70" s="134"/>
      <c r="FM70" s="134"/>
      <c r="FN70" s="134"/>
      <c r="FO70" s="134"/>
      <c r="FP70" s="134"/>
      <c r="FQ70" s="134"/>
      <c r="FR70" s="134"/>
      <c r="FS70" s="134"/>
      <c r="FT70" s="134"/>
      <c r="FU70" s="134"/>
      <c r="FV70" s="134"/>
      <c r="FW70" s="134"/>
      <c r="FX70" s="134"/>
      <c r="FY70" s="134"/>
      <c r="FZ70" s="134"/>
      <c r="GA70" s="134"/>
      <c r="GB70" s="134"/>
      <c r="GC70" s="134"/>
      <c r="GD70" s="134"/>
      <c r="GE70" s="134"/>
      <c r="GF70" s="134"/>
      <c r="GG70" s="134"/>
      <c r="GH70" s="134"/>
      <c r="GI70" s="134"/>
      <c r="GJ70" s="134"/>
      <c r="GK70" s="134"/>
      <c r="GL70" s="134"/>
      <c r="GM70" s="134"/>
      <c r="GN70" s="134"/>
      <c r="GO70" s="134"/>
      <c r="GP70" s="134"/>
      <c r="GQ70" s="134"/>
      <c r="GR70" s="134"/>
      <c r="GS70" s="134"/>
      <c r="GT70" s="134"/>
      <c r="GU70" s="134"/>
      <c r="GV70" s="134"/>
      <c r="GW70" s="134"/>
      <c r="GX70" s="134"/>
      <c r="GY70" s="134"/>
      <c r="GZ70" s="134"/>
      <c r="HA70" s="134"/>
      <c r="HB70" s="134"/>
      <c r="HC70" s="134"/>
      <c r="HD70" s="134"/>
      <c r="HE70" s="134"/>
      <c r="HF70" s="134"/>
      <c r="HG70" s="134"/>
      <c r="HH70" s="134"/>
      <c r="HI70" s="134"/>
      <c r="HJ70" s="134"/>
      <c r="HK70" s="134"/>
      <c r="HL70" s="134"/>
      <c r="HM70" s="134"/>
      <c r="HN70" s="134"/>
      <c r="HO70" s="134"/>
      <c r="HP70" s="134"/>
      <c r="HQ70" s="134"/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D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4"/>
      <c r="IO70" s="134"/>
      <c r="IP70" s="134"/>
      <c r="IQ70" s="134"/>
      <c r="IR70" s="134"/>
      <c r="IS70" s="134"/>
      <c r="IT70" s="134"/>
      <c r="IU70" s="134"/>
      <c r="IV70" s="134"/>
      <c r="IW70" s="134"/>
      <c r="IX70" s="134"/>
      <c r="IY70" s="134"/>
      <c r="IZ70" s="134"/>
      <c r="JA70" s="134"/>
    </row>
    <row r="71" spans="1:261" x14ac:dyDescent="0.25">
      <c r="A71" s="124"/>
      <c r="B71" s="124"/>
      <c r="C71" s="133" t="s">
        <v>64</v>
      </c>
      <c r="D71" s="117" t="s">
        <v>181</v>
      </c>
      <c r="F71" s="118">
        <f>F70/(F70+G70+H70)</f>
        <v>0.97911735684296741</v>
      </c>
      <c r="G71" s="118">
        <f>G70/(F70+G70+H70)</f>
        <v>2.0302211444823515E-2</v>
      </c>
      <c r="H71" s="118">
        <f>H70/(F70+G70+H70)</f>
        <v>5.8043171220905861E-4</v>
      </c>
      <c r="J71" s="118">
        <f>J70/(J70+K70+L70)</f>
        <v>0.97884114372894948</v>
      </c>
      <c r="K71" s="118">
        <f>K70/(J70+K70+L70)</f>
        <v>2.0619056546445403E-2</v>
      </c>
      <c r="L71" s="118">
        <f>L70/(J70+K70+L70)</f>
        <v>5.3979972460517045E-4</v>
      </c>
      <c r="N71" s="118">
        <f>N70/(N70+O70+P70)</f>
        <v>0.97518934902230414</v>
      </c>
      <c r="O71" s="118">
        <f>O70/(N70+O70+P70)</f>
        <v>2.4405952119338294E-2</v>
      </c>
      <c r="P71" s="118">
        <f>P70/(N70+O70+P70)</f>
        <v>4.0469885835757539E-4</v>
      </c>
      <c r="R71" s="118">
        <f>R70/(R70+S70+T70)</f>
        <v>0.97401092130421218</v>
      </c>
      <c r="S71" s="118">
        <f>S70/(R70+S70+T70)</f>
        <v>2.561085925530858E-2</v>
      </c>
      <c r="T71" s="118">
        <f>T70/(R70+S70+T70)</f>
        <v>3.7821944047924065E-4</v>
      </c>
      <c r="V71" s="118">
        <f>V70/(V70+W70+X70)</f>
        <v>0.97335040437241116</v>
      </c>
      <c r="W71" s="118">
        <f>W70/(V70+W70+X70)</f>
        <v>2.6336684524329489E-2</v>
      </c>
      <c r="X71" s="118">
        <f>X70/(V70+W70+X70)</f>
        <v>3.1291110325936029E-4</v>
      </c>
      <c r="Y71" s="134"/>
      <c r="Z71" s="118">
        <f>Z70/(Z70+AA70+AB70)</f>
        <v>0.97067875968208583</v>
      </c>
      <c r="AA71" s="118">
        <f>AA70/(Z70+AA70+AB70)</f>
        <v>2.9046532250177736E-2</v>
      </c>
      <c r="AB71" s="118">
        <f>AB70/(Z70+AA70+AB70)</f>
        <v>2.7470806773641649E-4</v>
      </c>
      <c r="AC71" s="134"/>
      <c r="AD71" s="118">
        <f>AD70/(AD70+AE70+AF70)</f>
        <v>0.97385400984772985</v>
      </c>
      <c r="AE71" s="118">
        <f>AE70/(AD70+AE70+AF70)</f>
        <v>2.5911827693306182E-2</v>
      </c>
      <c r="AF71" s="118">
        <f>AF70/(AD70+AE70+AF70)</f>
        <v>2.3416245896395096E-4</v>
      </c>
      <c r="AG71" s="134"/>
      <c r="AH71" s="118">
        <f>AH70/(AH70+AI70+AJ70)</f>
        <v>0.97652905972580917</v>
      </c>
      <c r="AI71" s="118">
        <f>AI70/(AH70+AI70+AJ70)</f>
        <v>2.3232598609782457E-2</v>
      </c>
      <c r="AJ71" s="118">
        <f>AJ70/(AH70+AI70+AJ70)</f>
        <v>2.3834166440840662E-4</v>
      </c>
      <c r="AK71" s="177"/>
      <c r="AL71" s="118">
        <f>AL70/(AL70+AM70+AN70)</f>
        <v>0.97652905972580917</v>
      </c>
      <c r="AM71" s="118">
        <f>AM70/(AL70+AM70+AN70)</f>
        <v>2.3232598609782457E-2</v>
      </c>
      <c r="AN71" s="118">
        <f>AN70/(AL70+AM70+AN70)</f>
        <v>2.3834166440840662E-4</v>
      </c>
      <c r="AO71" s="134"/>
      <c r="AP71" s="118">
        <f>AP70/(AP70+AQ70+AR70)</f>
        <v>0.97652905972580917</v>
      </c>
      <c r="AQ71" s="118">
        <f>AQ70/(AP70+AQ70+AR70)</f>
        <v>2.3232598609782457E-2</v>
      </c>
      <c r="AR71" s="118">
        <f>AR70/(AP70+AQ70+AR70)</f>
        <v>2.3834166440840662E-4</v>
      </c>
      <c r="AS71" s="134"/>
      <c r="AT71" s="118">
        <f>AT70/(AT70+AU70+AV70)</f>
        <v>0.97652905972580917</v>
      </c>
      <c r="AU71" s="118">
        <f>AU70/(AT70+AU70+AV70)</f>
        <v>2.3232598609782457E-2</v>
      </c>
      <c r="AV71" s="118">
        <f>AV70/(AT70+AU70+AV70)</f>
        <v>2.3834166440840662E-4</v>
      </c>
      <c r="AW71" s="134"/>
      <c r="AX71" s="118">
        <f>AX70/(AX70+AY70+AZ70)</f>
        <v>0.97652905972580917</v>
      </c>
      <c r="AY71" s="118">
        <f>AY70/(AX70+AY70+AZ70)</f>
        <v>2.3232598609782457E-2</v>
      </c>
      <c r="AZ71" s="118">
        <f>AZ70/(AX70+AY70+AZ70)</f>
        <v>2.3834166440840662E-4</v>
      </c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134"/>
      <c r="DV71" s="134"/>
      <c r="DW71" s="134"/>
      <c r="DX71" s="134"/>
      <c r="DY71" s="134"/>
      <c r="DZ71" s="134"/>
      <c r="EA71" s="134"/>
      <c r="EB71" s="134"/>
      <c r="EC71" s="134"/>
      <c r="ED71" s="134"/>
      <c r="EE71" s="134"/>
      <c r="EF71" s="134"/>
      <c r="EG71" s="134"/>
      <c r="EH71" s="134"/>
      <c r="EI71" s="134"/>
      <c r="EJ71" s="134"/>
      <c r="EK71" s="134"/>
      <c r="EL71" s="134"/>
      <c r="EM71" s="134"/>
      <c r="EN71" s="134"/>
      <c r="EO71" s="134"/>
      <c r="EP71" s="134"/>
      <c r="EQ71" s="134"/>
      <c r="ER71" s="134"/>
      <c r="ES71" s="134"/>
      <c r="ET71" s="134"/>
      <c r="EU71" s="134"/>
      <c r="EV71" s="134"/>
      <c r="EW71" s="134"/>
      <c r="EX71" s="134"/>
      <c r="EY71" s="134"/>
      <c r="EZ71" s="134"/>
      <c r="FA71" s="134"/>
      <c r="FB71" s="134"/>
      <c r="FC71" s="134"/>
      <c r="FD71" s="134"/>
      <c r="FE71" s="134"/>
      <c r="FF71" s="134"/>
      <c r="FG71" s="134"/>
      <c r="FH71" s="134"/>
      <c r="FI71" s="134"/>
      <c r="FJ71" s="134"/>
      <c r="FK71" s="134"/>
      <c r="FL71" s="134"/>
      <c r="FM71" s="134"/>
      <c r="FN71" s="134"/>
      <c r="FO71" s="134"/>
      <c r="FP71" s="134"/>
      <c r="FQ71" s="134"/>
      <c r="FR71" s="134"/>
      <c r="FS71" s="134"/>
      <c r="FT71" s="134"/>
      <c r="FU71" s="134"/>
      <c r="FV71" s="134"/>
      <c r="FW71" s="134"/>
      <c r="FX71" s="134"/>
      <c r="FY71" s="134"/>
      <c r="FZ71" s="134"/>
      <c r="GA71" s="134"/>
      <c r="GB71" s="134"/>
      <c r="GC71" s="134"/>
      <c r="GD71" s="134"/>
      <c r="GE71" s="134"/>
      <c r="GF71" s="134"/>
      <c r="GG71" s="134"/>
      <c r="GH71" s="134"/>
      <c r="GI71" s="134"/>
      <c r="GJ71" s="134"/>
      <c r="GK71" s="134"/>
      <c r="GL71" s="134"/>
      <c r="GM71" s="134"/>
      <c r="GN71" s="134"/>
      <c r="GO71" s="134"/>
      <c r="GP71" s="134"/>
      <c r="GQ71" s="134"/>
      <c r="GR71" s="134"/>
      <c r="GS71" s="134"/>
      <c r="GT71" s="134"/>
      <c r="GU71" s="134"/>
      <c r="GV71" s="134"/>
      <c r="GW71" s="134"/>
      <c r="GX71" s="134"/>
      <c r="GY71" s="134"/>
      <c r="GZ71" s="134"/>
      <c r="HA71" s="134"/>
      <c r="HB71" s="134"/>
      <c r="HC71" s="134"/>
      <c r="HD71" s="134"/>
      <c r="HE71" s="134"/>
      <c r="HF71" s="134"/>
      <c r="HG71" s="134"/>
      <c r="HH71" s="134"/>
      <c r="HI71" s="134"/>
      <c r="HJ71" s="134"/>
      <c r="HK71" s="134"/>
      <c r="HL71" s="134"/>
      <c r="HM71" s="134"/>
      <c r="HN71" s="134"/>
      <c r="HO71" s="134"/>
      <c r="HP71" s="134"/>
      <c r="HQ71" s="134"/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D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4"/>
      <c r="IO71" s="134"/>
      <c r="IP71" s="134"/>
      <c r="IQ71" s="134"/>
      <c r="IR71" s="134"/>
      <c r="IS71" s="134"/>
      <c r="IT71" s="134"/>
      <c r="IU71" s="134"/>
      <c r="IV71" s="134"/>
      <c r="IW71" s="134"/>
      <c r="IX71" s="134"/>
      <c r="IY71" s="134"/>
      <c r="IZ71" s="134"/>
      <c r="JA71" s="134"/>
    </row>
    <row r="75" spans="1:261" x14ac:dyDescent="0.25">
      <c r="A75" s="124"/>
      <c r="B75" s="124"/>
      <c r="C75" s="133" t="s">
        <v>562</v>
      </c>
      <c r="D75" s="116" t="s">
        <v>59</v>
      </c>
      <c r="F75" s="116">
        <f>F67+'QTY B'!F91+'QTY C'!F67+'QTY D'!F67</f>
        <v>622581</v>
      </c>
      <c r="G75" s="116">
        <f>G67+'QTY B'!G91+'QTY C'!G67+'QTY D'!G67</f>
        <v>12987</v>
      </c>
      <c r="H75" s="116">
        <f>H67+'QTY B'!H91+'QTY C'!H67+'QTY D'!H67</f>
        <v>245</v>
      </c>
      <c r="J75" s="116">
        <f>J67+'QTY B'!J91+'QTY C'!J67+'QTY D'!J67</f>
        <v>599860</v>
      </c>
      <c r="K75" s="116">
        <f>K67+'QTY B'!K91+'QTY C'!K67+'QTY D'!K67</f>
        <v>10099</v>
      </c>
      <c r="L75" s="116">
        <f>L67+'QTY B'!L91+'QTY C'!L67+'QTY D'!L67</f>
        <v>138</v>
      </c>
      <c r="N75" s="116">
        <f>N67+'QTY B'!N91+'QTY C'!N67+'QTY D'!N67</f>
        <v>577159</v>
      </c>
      <c r="O75" s="116">
        <f>O67+'QTY B'!O91+'QTY C'!O67+'QTY D'!O67</f>
        <v>13656</v>
      </c>
      <c r="P75" s="116">
        <f>P67+'QTY B'!P91+'QTY C'!P67+'QTY D'!P67</f>
        <v>88</v>
      </c>
      <c r="R75" s="116">
        <f>R67+'QTY B'!R91+'QTY C'!R67+'QTY D'!R67</f>
        <v>402595</v>
      </c>
      <c r="S75" s="116">
        <f>S67+'QTY B'!S91+'QTY C'!S67+'QTY D'!S67</f>
        <v>11042</v>
      </c>
      <c r="T75" s="116">
        <f>T67+'QTY B'!T91+'QTY C'!T67+'QTY D'!T67</f>
        <v>67</v>
      </c>
      <c r="V75" s="116">
        <f>V67+'QTY B'!V91+'QTY C'!V67+'QTY D'!V67</f>
        <v>697482</v>
      </c>
      <c r="W75" s="116">
        <f>W67+'QTY B'!W91+'QTY C'!W67+'QTY D'!W67</f>
        <v>15489</v>
      </c>
      <c r="X75" s="116">
        <f>X67+'QTY B'!X91+'QTY C'!X67+'QTY D'!X67</f>
        <v>105</v>
      </c>
      <c r="Z75" s="116">
        <f>Z67+'QTY B'!Z91+'QTY C'!Z67+'QTY D'!Z67</f>
        <v>613660</v>
      </c>
      <c r="AA75" s="116">
        <f>AA67+'QTY B'!AA91+'QTY C'!AA67+'QTY D'!AA67</f>
        <v>16132</v>
      </c>
      <c r="AB75" s="116">
        <f>AB67+'QTY B'!AB91+'QTY C'!AB67+'QTY D'!AB67</f>
        <v>114</v>
      </c>
      <c r="AD75" s="116">
        <f>AD67+'QTY B'!AD91+'QTY C'!AD67+'QTY D'!AD67</f>
        <v>690039</v>
      </c>
      <c r="AE75" s="116">
        <f>AE67+'QTY B'!AE91+'QTY C'!AE67+'QTY D'!AE67</f>
        <v>4858</v>
      </c>
      <c r="AF75" s="116">
        <f>AF67+'QTY B'!AF91+'QTY C'!AF67+'QTY D'!AF67</f>
        <v>29</v>
      </c>
      <c r="AH75" s="116">
        <f>AH67+'QTY B'!AH91+'QTY C'!AH67+'QTY D'!AH67</f>
        <v>140021</v>
      </c>
      <c r="AI75" s="116">
        <f>AI67+'QTY B'!AI91+'QTY C'!AI67+'QTY D'!AI67</f>
        <v>356</v>
      </c>
      <c r="AJ75" s="116">
        <f>AJ67+'QTY B'!AJ91+'QTY C'!AJ67+'QTY D'!AJ67</f>
        <v>38</v>
      </c>
      <c r="AK75" s="176"/>
      <c r="AL75" s="116">
        <f>AL67+'QTY B'!AL91+'QTY C'!AL67+'QTY D'!AL67</f>
        <v>0</v>
      </c>
      <c r="AM75" s="116">
        <f>AM67+'QTY B'!AM91+'QTY C'!AM67+'QTY D'!AM67</f>
        <v>0</v>
      </c>
      <c r="AN75" s="116">
        <f>AN67+'QTY B'!AN91+'QTY C'!AN67+'QTY D'!AN67</f>
        <v>0</v>
      </c>
      <c r="AP75" s="116">
        <f>AP67+'QTY B'!AP91+'QTY C'!AP67+'QTY D'!AP67</f>
        <v>0</v>
      </c>
      <c r="AQ75" s="116">
        <f>AQ67+'QTY B'!AQ91+'QTY C'!AQ67+'QTY D'!AQ67</f>
        <v>0</v>
      </c>
      <c r="AR75" s="116">
        <f>AR67+'QTY B'!AR91+'QTY C'!AR67+'QTY D'!AR67</f>
        <v>0</v>
      </c>
      <c r="AT75" s="116">
        <f>AT67+'QTY B'!AT91+'QTY C'!AT67+'QTY D'!AT67</f>
        <v>0</v>
      </c>
      <c r="AU75" s="116">
        <f>AU67+'QTY B'!AU91+'QTY C'!AU67+'QTY D'!AU67</f>
        <v>0</v>
      </c>
      <c r="AV75" s="116">
        <f>AV67+'QTY B'!AV91+'QTY C'!AV67+'QTY D'!AV67</f>
        <v>0</v>
      </c>
      <c r="AX75" s="116">
        <f>AX67+'QTY B'!AX91+'QTY C'!AX67+'QTY D'!AX67</f>
        <v>0</v>
      </c>
      <c r="AY75" s="116">
        <f>AY67+'QTY B'!AY91+'QTY C'!AY67+'QTY D'!AY67</f>
        <v>0</v>
      </c>
      <c r="AZ75" s="116">
        <f>AZ67+'QTY B'!AZ91+'QTY C'!AZ67+'QTY D'!AZ67</f>
        <v>0</v>
      </c>
    </row>
    <row r="76" spans="1:261" x14ac:dyDescent="0.25">
      <c r="A76" s="124"/>
      <c r="B76" s="124"/>
      <c r="C76" s="133" t="s">
        <v>64</v>
      </c>
      <c r="D76" s="117" t="s">
        <v>181</v>
      </c>
      <c r="F76" s="118">
        <f>F75/(F75+G75+H75)</f>
        <v>0.9791888495516764</v>
      </c>
      <c r="G76" s="118">
        <f>G75/(F75+G75+H75)</f>
        <v>2.0425817024817047E-2</v>
      </c>
      <c r="H76" s="118">
        <f>H75/(F75+G75+H75)</f>
        <v>3.8533342350659705E-4</v>
      </c>
      <c r="J76" s="118">
        <f>J75/(J75+K75+L75)</f>
        <v>0.9832207009705014</v>
      </c>
      <c r="K76" s="118">
        <f>K75/(J75+K75+L75)</f>
        <v>1.6553105489782772E-2</v>
      </c>
      <c r="L76" s="118">
        <f>L75/(J75+K75+L75)</f>
        <v>2.2619353971581568E-4</v>
      </c>
      <c r="N76" s="118">
        <f>N75/(N75+O75+P75)</f>
        <v>0.97674068332704356</v>
      </c>
      <c r="O76" s="118">
        <f>O75/(N75+O75+P75)</f>
        <v>2.3110392060964321E-2</v>
      </c>
      <c r="P76" s="118">
        <f>P75/(N75+O75+P75)</f>
        <v>1.4892461199215437E-4</v>
      </c>
      <c r="R76" s="118">
        <f>R75/(R75+S75+T75)</f>
        <v>0.97314746775472316</v>
      </c>
      <c r="S76" s="118">
        <f>S75/(R75+S75+T75)</f>
        <v>2.6690580705045153E-2</v>
      </c>
      <c r="T76" s="118">
        <f>T75/(R75+S75+T75)</f>
        <v>1.6195154023166322E-4</v>
      </c>
      <c r="V76" s="118">
        <f>V75/(V75+W75+X75)</f>
        <v>0.97813136327684569</v>
      </c>
      <c r="W76" s="118">
        <f>W75/(V75+W75+X75)</f>
        <v>2.1721387341601738E-2</v>
      </c>
      <c r="X76" s="118">
        <f>X75/(V75+W75+X75)</f>
        <v>1.4724938155259747E-4</v>
      </c>
      <c r="Z76" s="118">
        <f>Z75/(Z75+AA75+AB75)</f>
        <v>0.97420885020939629</v>
      </c>
      <c r="AA76" s="118">
        <f>AA75/(Z75+AA75+AB75)</f>
        <v>2.5610170406378096E-2</v>
      </c>
      <c r="AB76" s="118">
        <f>AB75/(Z75+AA75+AB75)</f>
        <v>1.8097938422558286E-4</v>
      </c>
      <c r="AD76" s="118">
        <f>AD75/(AD75+AE75+AF75)</f>
        <v>0.99296759654984845</v>
      </c>
      <c r="AE76" s="118">
        <f>AE75/(AD75+AE75+AF75)</f>
        <v>6.9906723881391691E-3</v>
      </c>
      <c r="AF76" s="118">
        <f>AF75/(AD75+AE75+AF75)</f>
        <v>4.173106201235815E-5</v>
      </c>
      <c r="AH76" s="118">
        <f>AH75/(AH75+AI75+AJ75)</f>
        <v>0.99719403197664069</v>
      </c>
      <c r="AI76" s="118">
        <f>AI75/(AH75+AI75+AJ75)</f>
        <v>2.5353416657764483E-3</v>
      </c>
      <c r="AJ76" s="118">
        <f>AJ75/(AH75+AI75+AJ75)</f>
        <v>2.7062635758287932E-4</v>
      </c>
      <c r="AK76" s="177"/>
      <c r="AL76" s="118" t="e">
        <f>AL75/(AL75+AM75+AN75)</f>
        <v>#DIV/0!</v>
      </c>
      <c r="AM76" s="118" t="e">
        <f>AM75/(AL75+AM75+AN75)</f>
        <v>#DIV/0!</v>
      </c>
      <c r="AN76" s="118" t="e">
        <f>AN75/(AL75+AM75+AN75)</f>
        <v>#DIV/0!</v>
      </c>
      <c r="AP76" s="118" t="e">
        <f>AP75/(AP75+AQ75+AR75)</f>
        <v>#DIV/0!</v>
      </c>
      <c r="AQ76" s="118" t="e">
        <f>AQ75/(AP75+AQ75+AR75)</f>
        <v>#DIV/0!</v>
      </c>
      <c r="AR76" s="118" t="e">
        <f>AR75/(AP75+AQ75+AR75)</f>
        <v>#DIV/0!</v>
      </c>
      <c r="AT76" s="118" t="e">
        <f>AT75/(AT75+AU75+AV75)</f>
        <v>#DIV/0!</v>
      </c>
      <c r="AU76" s="118" t="e">
        <f>AU75/(AT75+AU75+AV75)</f>
        <v>#DIV/0!</v>
      </c>
      <c r="AV76" s="118" t="e">
        <f>AV75/(AT75+AU75+AV75)</f>
        <v>#DIV/0!</v>
      </c>
      <c r="AX76" s="118" t="e">
        <f>AX75/(AX75+AY75+AZ75)</f>
        <v>#DIV/0!</v>
      </c>
      <c r="AY76" s="118" t="e">
        <f>AY75/(AX75+AY75+AZ75)</f>
        <v>#DIV/0!</v>
      </c>
      <c r="AZ76" s="118" t="e">
        <f>AZ75/(AX75+AY75+AZ75)</f>
        <v>#DIV/0!</v>
      </c>
    </row>
    <row r="77" spans="1:261" x14ac:dyDescent="0.25">
      <c r="A77" s="124"/>
      <c r="B77" s="124"/>
      <c r="C77" s="124"/>
      <c r="D77" s="117"/>
      <c r="F77" s="118"/>
      <c r="G77" s="118"/>
      <c r="H77" s="118"/>
      <c r="J77" s="118"/>
      <c r="K77" s="118"/>
      <c r="L77" s="118"/>
      <c r="N77" s="118"/>
      <c r="O77" s="118"/>
      <c r="P77" s="118"/>
      <c r="R77" s="118"/>
      <c r="S77" s="118"/>
      <c r="T77" s="118"/>
      <c r="V77" s="118"/>
      <c r="W77" s="118"/>
      <c r="X77" s="118"/>
      <c r="Z77" s="118"/>
      <c r="AA77" s="118"/>
      <c r="AB77" s="118"/>
      <c r="AD77" s="118"/>
      <c r="AE77" s="118"/>
      <c r="AF77" s="118"/>
      <c r="AH77" s="118"/>
      <c r="AI77" s="118"/>
      <c r="AJ77" s="118"/>
      <c r="AK77" s="177"/>
      <c r="AL77" s="118"/>
      <c r="AM77" s="118"/>
      <c r="AN77" s="118"/>
      <c r="AP77" s="118"/>
      <c r="AQ77" s="118"/>
      <c r="AR77" s="118"/>
      <c r="AT77" s="118"/>
      <c r="AU77" s="118"/>
      <c r="AV77" s="118"/>
      <c r="AX77" s="118"/>
      <c r="AY77" s="118"/>
      <c r="AZ77" s="118"/>
    </row>
    <row r="78" spans="1:261" x14ac:dyDescent="0.25">
      <c r="A78" s="124"/>
      <c r="B78" s="124"/>
      <c r="C78" s="133" t="s">
        <v>563</v>
      </c>
      <c r="D78" s="116" t="s">
        <v>59</v>
      </c>
      <c r="F78" s="116">
        <f>F75</f>
        <v>622581</v>
      </c>
      <c r="G78" s="116">
        <f>G75</f>
        <v>12987</v>
      </c>
      <c r="H78" s="116">
        <f>H75</f>
        <v>245</v>
      </c>
      <c r="J78" s="116">
        <f>F78+J75</f>
        <v>1222441</v>
      </c>
      <c r="K78" s="116">
        <f>G78+K75</f>
        <v>23086</v>
      </c>
      <c r="L78" s="116">
        <f>H78+L75</f>
        <v>383</v>
      </c>
      <c r="N78" s="116">
        <f>J78+N75</f>
        <v>1799600</v>
      </c>
      <c r="O78" s="116">
        <f>K78+O75</f>
        <v>36742</v>
      </c>
      <c r="P78" s="116">
        <f>L78+P75</f>
        <v>471</v>
      </c>
      <c r="R78" s="116">
        <f>N78+R75</f>
        <v>2202195</v>
      </c>
      <c r="S78" s="116">
        <f>O78+S75</f>
        <v>47784</v>
      </c>
      <c r="T78" s="116">
        <f>P78+T75</f>
        <v>538</v>
      </c>
      <c r="V78" s="116">
        <f>R78+V75</f>
        <v>2899677</v>
      </c>
      <c r="W78" s="116">
        <f>S78+W75</f>
        <v>63273</v>
      </c>
      <c r="X78" s="116">
        <f>T78+X75</f>
        <v>643</v>
      </c>
      <c r="Z78" s="116">
        <f>V78+Z75</f>
        <v>3513337</v>
      </c>
      <c r="AA78" s="116">
        <f>W78+AA75</f>
        <v>79405</v>
      </c>
      <c r="AB78" s="116">
        <f>X78+AB75</f>
        <v>757</v>
      </c>
      <c r="AD78" s="116">
        <f>Z78+AD75</f>
        <v>4203376</v>
      </c>
      <c r="AE78" s="116">
        <f>AA78+AE75</f>
        <v>84263</v>
      </c>
      <c r="AF78" s="116">
        <f>AB78+AF75</f>
        <v>786</v>
      </c>
      <c r="AH78" s="116">
        <f>AD78+AH75</f>
        <v>4343397</v>
      </c>
      <c r="AI78" s="116">
        <f>AE78+AI75</f>
        <v>84619</v>
      </c>
      <c r="AJ78" s="116">
        <f>AF78+AJ75</f>
        <v>824</v>
      </c>
      <c r="AK78" s="176"/>
      <c r="AL78" s="116">
        <f>AH78+AL75</f>
        <v>4343397</v>
      </c>
      <c r="AM78" s="116">
        <f>AI78+AM75</f>
        <v>84619</v>
      </c>
      <c r="AN78" s="116">
        <f>AJ78+AN75</f>
        <v>824</v>
      </c>
      <c r="AP78" s="116">
        <f>AL78+AP75</f>
        <v>4343397</v>
      </c>
      <c r="AQ78" s="116">
        <f>AM78+AQ75</f>
        <v>84619</v>
      </c>
      <c r="AR78" s="116">
        <f>AN78+AR75</f>
        <v>824</v>
      </c>
      <c r="AT78" s="116">
        <f>AP78+AT75</f>
        <v>4343397</v>
      </c>
      <c r="AU78" s="116">
        <f>AQ78+AU75</f>
        <v>84619</v>
      </c>
      <c r="AV78" s="116">
        <f>AR78+AV75</f>
        <v>824</v>
      </c>
      <c r="AX78" s="116">
        <f>AT78+AX75</f>
        <v>4343397</v>
      </c>
      <c r="AY78" s="116">
        <f>AU78+AY75</f>
        <v>84619</v>
      </c>
      <c r="AZ78" s="116">
        <f>AV78+AZ75</f>
        <v>824</v>
      </c>
    </row>
    <row r="79" spans="1:261" x14ac:dyDescent="0.25">
      <c r="A79" s="124"/>
      <c r="B79" s="124"/>
      <c r="C79" s="133" t="s">
        <v>64</v>
      </c>
      <c r="D79" s="117" t="s">
        <v>181</v>
      </c>
      <c r="F79" s="118">
        <f>F78/(F78+G78+H78)</f>
        <v>0.9791888495516764</v>
      </c>
      <c r="G79" s="118">
        <f>G78/(F78+G78+H78)</f>
        <v>2.0425817024817047E-2</v>
      </c>
      <c r="H79" s="118">
        <f>H78/(F78+G78+H78)</f>
        <v>3.8533342350659705E-4</v>
      </c>
      <c r="J79" s="118">
        <f>J78/(J78+K78+L78)</f>
        <v>0.98116316587875529</v>
      </c>
      <c r="K79" s="118">
        <f>K78/(J78+K78+L78)</f>
        <v>1.8529428289362795E-2</v>
      </c>
      <c r="L79" s="118">
        <f>L78/(J78+K78+L78)</f>
        <v>3.0740583188191764E-4</v>
      </c>
      <c r="N79" s="118">
        <f>N78/(N78+O78+P78)</f>
        <v>0.97974045262092546</v>
      </c>
      <c r="O79" s="118">
        <f>O78/(N78+O78+P78)</f>
        <v>2.0003124977882886E-2</v>
      </c>
      <c r="P79" s="118">
        <f>P78/(N78+O78+P78)</f>
        <v>2.564224011916292E-4</v>
      </c>
      <c r="R79" s="118">
        <f>R78/(R78+S78+T78)</f>
        <v>0.97852848923158542</v>
      </c>
      <c r="S79" s="118">
        <f>S78/(R78+S78+T78)</f>
        <v>2.1232454587101542E-2</v>
      </c>
      <c r="T79" s="118">
        <f>T78/(R78+S78+T78)</f>
        <v>2.3905618131300497E-4</v>
      </c>
      <c r="V79" s="118">
        <f>V78/(V78+W78+X78)</f>
        <v>0.97843293596657843</v>
      </c>
      <c r="W79" s="118">
        <f>W78/(V78+W78+X78)</f>
        <v>2.1350097668606991E-2</v>
      </c>
      <c r="X79" s="118">
        <f>X78/(V78+W78+X78)</f>
        <v>2.1696636481460173E-4</v>
      </c>
      <c r="Z79" s="118">
        <f>Z78/(Z78+AA78+AB78)</f>
        <v>0.9776924941401125</v>
      </c>
      <c r="AA79" s="118">
        <f>AA78/(Z78+AA78+AB78)</f>
        <v>2.2096847668525859E-2</v>
      </c>
      <c r="AB79" s="118">
        <f>AB78/(Z78+AA78+AB78)</f>
        <v>2.1065819136167842E-4</v>
      </c>
      <c r="AD79" s="118">
        <f>AD78/(AD78+AE78+AF78)</f>
        <v>0.98016777721424531</v>
      </c>
      <c r="AE79" s="118">
        <f>AE78/(AD78+AE78+AF78)</f>
        <v>1.9648938712930736E-2</v>
      </c>
      <c r="AF79" s="118">
        <f>AF78/(AD78+AE78+AF78)</f>
        <v>1.8328407282393886E-4</v>
      </c>
      <c r="AH79" s="118">
        <f>AH78/(AH78+AI78+AJ78)</f>
        <v>0.98070758934619451</v>
      </c>
      <c r="AI79" s="118">
        <f>AI78/(AH78+AI78+AJ78)</f>
        <v>1.9106357420904798E-2</v>
      </c>
      <c r="AJ79" s="118">
        <f>AJ78/(AH78+AI78+AJ78)</f>
        <v>1.8605323290071441E-4</v>
      </c>
      <c r="AK79" s="177"/>
      <c r="AL79" s="118">
        <f>AL78/(AL78+AM78+AN78)</f>
        <v>0.98070758934619451</v>
      </c>
      <c r="AM79" s="118">
        <f>AM78/(AL78+AM78+AN78)</f>
        <v>1.9106357420904798E-2</v>
      </c>
      <c r="AN79" s="118">
        <f>AN78/(AL78+AM78+AN78)</f>
        <v>1.8605323290071441E-4</v>
      </c>
      <c r="AP79" s="118">
        <f>AP78/(AP78+AQ78+AR78)</f>
        <v>0.98070758934619451</v>
      </c>
      <c r="AQ79" s="118">
        <f>AQ78/(AP78+AQ78+AR78)</f>
        <v>1.9106357420904798E-2</v>
      </c>
      <c r="AR79" s="118">
        <f>AR78/(AP78+AQ78+AR78)</f>
        <v>1.8605323290071441E-4</v>
      </c>
      <c r="AT79" s="118">
        <f>AT78/(AT78+AU78+AV78)</f>
        <v>0.98070758934619451</v>
      </c>
      <c r="AU79" s="118">
        <f>AU78/(AT78+AU78+AV78)</f>
        <v>1.9106357420904798E-2</v>
      </c>
      <c r="AV79" s="118">
        <f>AV78/(AT78+AU78+AV78)</f>
        <v>1.8605323290071441E-4</v>
      </c>
      <c r="AX79" s="118">
        <f>AX78/(AX78+AY78+AZ78)</f>
        <v>0.98070758934619451</v>
      </c>
      <c r="AY79" s="118">
        <f>AY78/(AX78+AY78+AZ78)</f>
        <v>1.9106357420904798E-2</v>
      </c>
      <c r="AZ79" s="118">
        <f>AZ78/(AX78+AY78+AZ78)</f>
        <v>1.8605323290071441E-4</v>
      </c>
    </row>
  </sheetData>
  <mergeCells count="16">
    <mergeCell ref="AD2:AF2"/>
    <mergeCell ref="Z2:AB2"/>
    <mergeCell ref="V2:X2"/>
    <mergeCell ref="A2:A3"/>
    <mergeCell ref="B2:B3"/>
    <mergeCell ref="C2:C3"/>
    <mergeCell ref="R2:T2"/>
    <mergeCell ref="N2:P2"/>
    <mergeCell ref="D2:D3"/>
    <mergeCell ref="F2:H2"/>
    <mergeCell ref="J2:L2"/>
    <mergeCell ref="AP2:AR2"/>
    <mergeCell ref="AT2:AV2"/>
    <mergeCell ref="AX2:AZ2"/>
    <mergeCell ref="AL2:AN2"/>
    <mergeCell ref="AH2:AJ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V99"/>
  <sheetViews>
    <sheetView zoomScaleNormal="100" workbookViewId="0">
      <pane xSplit="4" ySplit="4" topLeftCell="AI5" activePane="bottomRight" state="frozen"/>
      <selection activeCell="AY11" sqref="AY11"/>
      <selection pane="topRight" activeCell="AY11" sqref="AY11"/>
      <selection pane="bottomLeft" activeCell="AY11" sqref="AY11"/>
      <selection pane="bottomRight" activeCell="AY11" sqref="AY11"/>
    </sheetView>
  </sheetViews>
  <sheetFormatPr defaultColWidth="8.85546875" defaultRowHeight="15" x14ac:dyDescent="0.25"/>
  <cols>
    <col min="1" max="1" width="8.85546875" style="110"/>
    <col min="2" max="2" width="20.28515625" style="110" customWidth="1"/>
    <col min="3" max="3" width="43.42578125" style="110" bestFit="1" customWidth="1"/>
    <col min="4" max="4" width="11" style="111" customWidth="1"/>
    <col min="5" max="5" width="2.7109375" style="134" customWidth="1"/>
    <col min="6" max="6" width="9.140625" style="112" customWidth="1"/>
    <col min="7" max="7" width="7.7109375" style="112" customWidth="1"/>
    <col min="8" max="8" width="7.5703125" style="112" customWidth="1"/>
    <col min="9" max="9" width="2.7109375" style="134" customWidth="1"/>
    <col min="10" max="10" width="9.7109375" style="112" customWidth="1"/>
    <col min="11" max="11" width="7.7109375" style="112" customWidth="1"/>
    <col min="12" max="12" width="7.5703125" style="112" customWidth="1"/>
    <col min="13" max="13" width="2.7109375" style="134" customWidth="1"/>
    <col min="14" max="14" width="9.7109375" style="112" customWidth="1"/>
    <col min="15" max="15" width="7.7109375" style="112" customWidth="1"/>
    <col min="16" max="16" width="7.5703125" style="112" customWidth="1"/>
    <col min="17" max="17" width="2.7109375" style="134" customWidth="1"/>
    <col min="18" max="18" width="9.7109375" style="112" customWidth="1"/>
    <col min="19" max="19" width="7.7109375" style="112" customWidth="1"/>
    <col min="20" max="20" width="7.5703125" style="112" customWidth="1"/>
    <col min="21" max="21" width="2.7109375" style="134" customWidth="1"/>
    <col min="22" max="22" width="9.7109375" style="110" customWidth="1"/>
    <col min="23" max="24" width="8.85546875" style="110" customWidth="1"/>
    <col min="25" max="25" width="2.7109375" style="135" customWidth="1"/>
    <col min="26" max="26" width="9.7109375" style="110" bestFit="1" customWidth="1"/>
    <col min="27" max="28" width="8.85546875" style="110"/>
    <col min="29" max="29" width="2.7109375" style="135" customWidth="1"/>
    <col min="30" max="30" width="9.7109375" style="110" bestFit="1" customWidth="1"/>
    <col min="31" max="32" width="8.85546875" style="110"/>
    <col min="33" max="33" width="2.7109375" style="135" customWidth="1"/>
    <col min="34" max="34" width="9.7109375" style="110" bestFit="1" customWidth="1"/>
    <col min="35" max="36" width="8.85546875" style="110"/>
    <col min="37" max="37" width="2.7109375" style="135" customWidth="1"/>
    <col min="38" max="38" width="9.7109375" style="110" bestFit="1" customWidth="1"/>
    <col min="39" max="40" width="8.85546875" style="110"/>
    <col min="41" max="41" width="2.7109375" style="135" customWidth="1"/>
    <col min="42" max="42" width="9.7109375" style="110" bestFit="1" customWidth="1"/>
    <col min="43" max="44" width="8.85546875" style="110"/>
    <col min="45" max="45" width="2.7109375" style="135" customWidth="1"/>
    <col min="46" max="46" width="9.7109375" style="110" bestFit="1" customWidth="1"/>
    <col min="47" max="48" width="8.85546875" style="110"/>
    <col min="49" max="49" width="2.7109375" style="135" customWidth="1"/>
    <col min="50" max="50" width="9.7109375" style="110" bestFit="1" customWidth="1"/>
    <col min="51" max="52" width="8.85546875" style="110"/>
    <col min="53" max="257" width="8.85546875" style="135"/>
    <col min="258" max="258" width="20.28515625" style="135" customWidth="1"/>
    <col min="259" max="259" width="43.42578125" style="135" bestFit="1" customWidth="1"/>
    <col min="260" max="260" width="8.7109375" style="135" customWidth="1"/>
    <col min="261" max="261" width="2.7109375" style="135" customWidth="1"/>
    <col min="262" max="262" width="9.140625" style="135" bestFit="1" customWidth="1"/>
    <col min="263" max="263" width="7.7109375" style="135" bestFit="1" customWidth="1"/>
    <col min="264" max="264" width="7.5703125" style="135" bestFit="1" customWidth="1"/>
    <col min="265" max="265" width="2.7109375" style="135" customWidth="1"/>
    <col min="266" max="266" width="7.5703125" style="135" bestFit="1" customWidth="1"/>
    <col min="267" max="267" width="7.7109375" style="135" bestFit="1" customWidth="1"/>
    <col min="268" max="268" width="7.5703125" style="135" bestFit="1" customWidth="1"/>
    <col min="269" max="513" width="8.85546875" style="135"/>
    <col min="514" max="514" width="20.28515625" style="135" customWidth="1"/>
    <col min="515" max="515" width="43.42578125" style="135" bestFit="1" customWidth="1"/>
    <col min="516" max="516" width="8.7109375" style="135" customWidth="1"/>
    <col min="517" max="517" width="2.7109375" style="135" customWidth="1"/>
    <col min="518" max="518" width="9.140625" style="135" bestFit="1" customWidth="1"/>
    <col min="519" max="519" width="7.7109375" style="135" bestFit="1" customWidth="1"/>
    <col min="520" max="520" width="7.5703125" style="135" bestFit="1" customWidth="1"/>
    <col min="521" max="521" width="2.7109375" style="135" customWidth="1"/>
    <col min="522" max="522" width="7.5703125" style="135" bestFit="1" customWidth="1"/>
    <col min="523" max="523" width="7.7109375" style="135" bestFit="1" customWidth="1"/>
    <col min="524" max="524" width="7.5703125" style="135" bestFit="1" customWidth="1"/>
    <col min="525" max="769" width="8.85546875" style="135"/>
    <col min="770" max="770" width="20.28515625" style="135" customWidth="1"/>
    <col min="771" max="771" width="43.42578125" style="135" bestFit="1" customWidth="1"/>
    <col min="772" max="772" width="8.7109375" style="135" customWidth="1"/>
    <col min="773" max="773" width="2.7109375" style="135" customWidth="1"/>
    <col min="774" max="774" width="9.140625" style="135" bestFit="1" customWidth="1"/>
    <col min="775" max="775" width="7.7109375" style="135" bestFit="1" customWidth="1"/>
    <col min="776" max="776" width="7.5703125" style="135" bestFit="1" customWidth="1"/>
    <col min="777" max="777" width="2.7109375" style="135" customWidth="1"/>
    <col min="778" max="778" width="7.5703125" style="135" bestFit="1" customWidth="1"/>
    <col min="779" max="779" width="7.7109375" style="135" bestFit="1" customWidth="1"/>
    <col min="780" max="780" width="7.5703125" style="135" bestFit="1" customWidth="1"/>
    <col min="781" max="1025" width="8.85546875" style="135"/>
    <col min="1026" max="1026" width="20.28515625" style="135" customWidth="1"/>
    <col min="1027" max="1027" width="43.42578125" style="135" bestFit="1" customWidth="1"/>
    <col min="1028" max="1028" width="8.7109375" style="135" customWidth="1"/>
    <col min="1029" max="1029" width="2.7109375" style="135" customWidth="1"/>
    <col min="1030" max="1030" width="9.140625" style="135" bestFit="1" customWidth="1"/>
    <col min="1031" max="1031" width="7.7109375" style="135" bestFit="1" customWidth="1"/>
    <col min="1032" max="1032" width="7.5703125" style="135" bestFit="1" customWidth="1"/>
    <col min="1033" max="1033" width="2.7109375" style="135" customWidth="1"/>
    <col min="1034" max="1034" width="7.5703125" style="135" bestFit="1" customWidth="1"/>
    <col min="1035" max="1035" width="7.7109375" style="135" bestFit="1" customWidth="1"/>
    <col min="1036" max="1036" width="7.5703125" style="135" bestFit="1" customWidth="1"/>
    <col min="1037" max="1281" width="8.85546875" style="135"/>
    <col min="1282" max="1282" width="20.28515625" style="135" customWidth="1"/>
    <col min="1283" max="1283" width="43.42578125" style="135" bestFit="1" customWidth="1"/>
    <col min="1284" max="1284" width="8.7109375" style="135" customWidth="1"/>
    <col min="1285" max="1285" width="2.7109375" style="135" customWidth="1"/>
    <col min="1286" max="1286" width="9.140625" style="135" bestFit="1" customWidth="1"/>
    <col min="1287" max="1287" width="7.7109375" style="135" bestFit="1" customWidth="1"/>
    <col min="1288" max="1288" width="7.5703125" style="135" bestFit="1" customWidth="1"/>
    <col min="1289" max="1289" width="2.7109375" style="135" customWidth="1"/>
    <col min="1290" max="1290" width="7.5703125" style="135" bestFit="1" customWidth="1"/>
    <col min="1291" max="1291" width="7.7109375" style="135" bestFit="1" customWidth="1"/>
    <col min="1292" max="1292" width="7.5703125" style="135" bestFit="1" customWidth="1"/>
    <col min="1293" max="1537" width="8.85546875" style="135"/>
    <col min="1538" max="1538" width="20.28515625" style="135" customWidth="1"/>
    <col min="1539" max="1539" width="43.42578125" style="135" bestFit="1" customWidth="1"/>
    <col min="1540" max="1540" width="8.7109375" style="135" customWidth="1"/>
    <col min="1541" max="1541" width="2.7109375" style="135" customWidth="1"/>
    <col min="1542" max="1542" width="9.140625" style="135" bestFit="1" customWidth="1"/>
    <col min="1543" max="1543" width="7.7109375" style="135" bestFit="1" customWidth="1"/>
    <col min="1544" max="1544" width="7.5703125" style="135" bestFit="1" customWidth="1"/>
    <col min="1545" max="1545" width="2.7109375" style="135" customWidth="1"/>
    <col min="1546" max="1546" width="7.5703125" style="135" bestFit="1" customWidth="1"/>
    <col min="1547" max="1547" width="7.7109375" style="135" bestFit="1" customWidth="1"/>
    <col min="1548" max="1548" width="7.5703125" style="135" bestFit="1" customWidth="1"/>
    <col min="1549" max="1793" width="8.85546875" style="135"/>
    <col min="1794" max="1794" width="20.28515625" style="135" customWidth="1"/>
    <col min="1795" max="1795" width="43.42578125" style="135" bestFit="1" customWidth="1"/>
    <col min="1796" max="1796" width="8.7109375" style="135" customWidth="1"/>
    <col min="1797" max="1797" width="2.7109375" style="135" customWidth="1"/>
    <col min="1798" max="1798" width="9.140625" style="135" bestFit="1" customWidth="1"/>
    <col min="1799" max="1799" width="7.7109375" style="135" bestFit="1" customWidth="1"/>
    <col min="1800" max="1800" width="7.5703125" style="135" bestFit="1" customWidth="1"/>
    <col min="1801" max="1801" width="2.7109375" style="135" customWidth="1"/>
    <col min="1802" max="1802" width="7.5703125" style="135" bestFit="1" customWidth="1"/>
    <col min="1803" max="1803" width="7.7109375" style="135" bestFit="1" customWidth="1"/>
    <col min="1804" max="1804" width="7.5703125" style="135" bestFit="1" customWidth="1"/>
    <col min="1805" max="2049" width="8.85546875" style="135"/>
    <col min="2050" max="2050" width="20.28515625" style="135" customWidth="1"/>
    <col min="2051" max="2051" width="43.42578125" style="135" bestFit="1" customWidth="1"/>
    <col min="2052" max="2052" width="8.7109375" style="135" customWidth="1"/>
    <col min="2053" max="2053" width="2.7109375" style="135" customWidth="1"/>
    <col min="2054" max="2054" width="9.140625" style="135" bestFit="1" customWidth="1"/>
    <col min="2055" max="2055" width="7.7109375" style="135" bestFit="1" customWidth="1"/>
    <col min="2056" max="2056" width="7.5703125" style="135" bestFit="1" customWidth="1"/>
    <col min="2057" max="2057" width="2.7109375" style="135" customWidth="1"/>
    <col min="2058" max="2058" width="7.5703125" style="135" bestFit="1" customWidth="1"/>
    <col min="2059" max="2059" width="7.7109375" style="135" bestFit="1" customWidth="1"/>
    <col min="2060" max="2060" width="7.5703125" style="135" bestFit="1" customWidth="1"/>
    <col min="2061" max="2305" width="8.85546875" style="135"/>
    <col min="2306" max="2306" width="20.28515625" style="135" customWidth="1"/>
    <col min="2307" max="2307" width="43.42578125" style="135" bestFit="1" customWidth="1"/>
    <col min="2308" max="2308" width="8.7109375" style="135" customWidth="1"/>
    <col min="2309" max="2309" width="2.7109375" style="135" customWidth="1"/>
    <col min="2310" max="2310" width="9.140625" style="135" bestFit="1" customWidth="1"/>
    <col min="2311" max="2311" width="7.7109375" style="135" bestFit="1" customWidth="1"/>
    <col min="2312" max="2312" width="7.5703125" style="135" bestFit="1" customWidth="1"/>
    <col min="2313" max="2313" width="2.7109375" style="135" customWidth="1"/>
    <col min="2314" max="2314" width="7.5703125" style="135" bestFit="1" customWidth="1"/>
    <col min="2315" max="2315" width="7.7109375" style="135" bestFit="1" customWidth="1"/>
    <col min="2316" max="2316" width="7.5703125" style="135" bestFit="1" customWidth="1"/>
    <col min="2317" max="2561" width="8.85546875" style="135"/>
    <col min="2562" max="2562" width="20.28515625" style="135" customWidth="1"/>
    <col min="2563" max="2563" width="43.42578125" style="135" bestFit="1" customWidth="1"/>
    <col min="2564" max="2564" width="8.7109375" style="135" customWidth="1"/>
    <col min="2565" max="2565" width="2.7109375" style="135" customWidth="1"/>
    <col min="2566" max="2566" width="9.140625" style="135" bestFit="1" customWidth="1"/>
    <col min="2567" max="2567" width="7.7109375" style="135" bestFit="1" customWidth="1"/>
    <col min="2568" max="2568" width="7.5703125" style="135" bestFit="1" customWidth="1"/>
    <col min="2569" max="2569" width="2.7109375" style="135" customWidth="1"/>
    <col min="2570" max="2570" width="7.5703125" style="135" bestFit="1" customWidth="1"/>
    <col min="2571" max="2571" width="7.7109375" style="135" bestFit="1" customWidth="1"/>
    <col min="2572" max="2572" width="7.5703125" style="135" bestFit="1" customWidth="1"/>
    <col min="2573" max="2817" width="8.85546875" style="135"/>
    <col min="2818" max="2818" width="20.28515625" style="135" customWidth="1"/>
    <col min="2819" max="2819" width="43.42578125" style="135" bestFit="1" customWidth="1"/>
    <col min="2820" max="2820" width="8.7109375" style="135" customWidth="1"/>
    <col min="2821" max="2821" width="2.7109375" style="135" customWidth="1"/>
    <col min="2822" max="2822" width="9.140625" style="135" bestFit="1" customWidth="1"/>
    <col min="2823" max="2823" width="7.7109375" style="135" bestFit="1" customWidth="1"/>
    <col min="2824" max="2824" width="7.5703125" style="135" bestFit="1" customWidth="1"/>
    <col min="2825" max="2825" width="2.7109375" style="135" customWidth="1"/>
    <col min="2826" max="2826" width="7.5703125" style="135" bestFit="1" customWidth="1"/>
    <col min="2827" max="2827" width="7.7109375" style="135" bestFit="1" customWidth="1"/>
    <col min="2828" max="2828" width="7.5703125" style="135" bestFit="1" customWidth="1"/>
    <col min="2829" max="3073" width="8.85546875" style="135"/>
    <col min="3074" max="3074" width="20.28515625" style="135" customWidth="1"/>
    <col min="3075" max="3075" width="43.42578125" style="135" bestFit="1" customWidth="1"/>
    <col min="3076" max="3076" width="8.7109375" style="135" customWidth="1"/>
    <col min="3077" max="3077" width="2.7109375" style="135" customWidth="1"/>
    <col min="3078" max="3078" width="9.140625" style="135" bestFit="1" customWidth="1"/>
    <col min="3079" max="3079" width="7.7109375" style="135" bestFit="1" customWidth="1"/>
    <col min="3080" max="3080" width="7.5703125" style="135" bestFit="1" customWidth="1"/>
    <col min="3081" max="3081" width="2.7109375" style="135" customWidth="1"/>
    <col min="3082" max="3082" width="7.5703125" style="135" bestFit="1" customWidth="1"/>
    <col min="3083" max="3083" width="7.7109375" style="135" bestFit="1" customWidth="1"/>
    <col min="3084" max="3084" width="7.5703125" style="135" bestFit="1" customWidth="1"/>
    <col min="3085" max="3329" width="8.85546875" style="135"/>
    <col min="3330" max="3330" width="20.28515625" style="135" customWidth="1"/>
    <col min="3331" max="3331" width="43.42578125" style="135" bestFit="1" customWidth="1"/>
    <col min="3332" max="3332" width="8.7109375" style="135" customWidth="1"/>
    <col min="3333" max="3333" width="2.7109375" style="135" customWidth="1"/>
    <col min="3334" max="3334" width="9.140625" style="135" bestFit="1" customWidth="1"/>
    <col min="3335" max="3335" width="7.7109375" style="135" bestFit="1" customWidth="1"/>
    <col min="3336" max="3336" width="7.5703125" style="135" bestFit="1" customWidth="1"/>
    <col min="3337" max="3337" width="2.7109375" style="135" customWidth="1"/>
    <col min="3338" max="3338" width="7.5703125" style="135" bestFit="1" customWidth="1"/>
    <col min="3339" max="3339" width="7.7109375" style="135" bestFit="1" customWidth="1"/>
    <col min="3340" max="3340" width="7.5703125" style="135" bestFit="1" customWidth="1"/>
    <col min="3341" max="3585" width="8.85546875" style="135"/>
    <col min="3586" max="3586" width="20.28515625" style="135" customWidth="1"/>
    <col min="3587" max="3587" width="43.42578125" style="135" bestFit="1" customWidth="1"/>
    <col min="3588" max="3588" width="8.7109375" style="135" customWidth="1"/>
    <col min="3589" max="3589" width="2.7109375" style="135" customWidth="1"/>
    <col min="3590" max="3590" width="9.140625" style="135" bestFit="1" customWidth="1"/>
    <col min="3591" max="3591" width="7.7109375" style="135" bestFit="1" customWidth="1"/>
    <col min="3592" max="3592" width="7.5703125" style="135" bestFit="1" customWidth="1"/>
    <col min="3593" max="3593" width="2.7109375" style="135" customWidth="1"/>
    <col min="3594" max="3594" width="7.5703125" style="135" bestFit="1" customWidth="1"/>
    <col min="3595" max="3595" width="7.7109375" style="135" bestFit="1" customWidth="1"/>
    <col min="3596" max="3596" width="7.5703125" style="135" bestFit="1" customWidth="1"/>
    <col min="3597" max="3841" width="8.85546875" style="135"/>
    <col min="3842" max="3842" width="20.28515625" style="135" customWidth="1"/>
    <col min="3843" max="3843" width="43.42578125" style="135" bestFit="1" customWidth="1"/>
    <col min="3844" max="3844" width="8.7109375" style="135" customWidth="1"/>
    <col min="3845" max="3845" width="2.7109375" style="135" customWidth="1"/>
    <col min="3846" max="3846" width="9.140625" style="135" bestFit="1" customWidth="1"/>
    <col min="3847" max="3847" width="7.7109375" style="135" bestFit="1" customWidth="1"/>
    <col min="3848" max="3848" width="7.5703125" style="135" bestFit="1" customWidth="1"/>
    <col min="3849" max="3849" width="2.7109375" style="135" customWidth="1"/>
    <col min="3850" max="3850" width="7.5703125" style="135" bestFit="1" customWidth="1"/>
    <col min="3851" max="3851" width="7.7109375" style="135" bestFit="1" customWidth="1"/>
    <col min="3852" max="3852" width="7.5703125" style="135" bestFit="1" customWidth="1"/>
    <col min="3853" max="4097" width="8.85546875" style="135"/>
    <col min="4098" max="4098" width="20.28515625" style="135" customWidth="1"/>
    <col min="4099" max="4099" width="43.42578125" style="135" bestFit="1" customWidth="1"/>
    <col min="4100" max="4100" width="8.7109375" style="135" customWidth="1"/>
    <col min="4101" max="4101" width="2.7109375" style="135" customWidth="1"/>
    <col min="4102" max="4102" width="9.140625" style="135" bestFit="1" customWidth="1"/>
    <col min="4103" max="4103" width="7.7109375" style="135" bestFit="1" customWidth="1"/>
    <col min="4104" max="4104" width="7.5703125" style="135" bestFit="1" customWidth="1"/>
    <col min="4105" max="4105" width="2.7109375" style="135" customWidth="1"/>
    <col min="4106" max="4106" width="7.5703125" style="135" bestFit="1" customWidth="1"/>
    <col min="4107" max="4107" width="7.7109375" style="135" bestFit="1" customWidth="1"/>
    <col min="4108" max="4108" width="7.5703125" style="135" bestFit="1" customWidth="1"/>
    <col min="4109" max="4353" width="8.85546875" style="135"/>
    <col min="4354" max="4354" width="20.28515625" style="135" customWidth="1"/>
    <col min="4355" max="4355" width="43.42578125" style="135" bestFit="1" customWidth="1"/>
    <col min="4356" max="4356" width="8.7109375" style="135" customWidth="1"/>
    <col min="4357" max="4357" width="2.7109375" style="135" customWidth="1"/>
    <col min="4358" max="4358" width="9.140625" style="135" bestFit="1" customWidth="1"/>
    <col min="4359" max="4359" width="7.7109375" style="135" bestFit="1" customWidth="1"/>
    <col min="4360" max="4360" width="7.5703125" style="135" bestFit="1" customWidth="1"/>
    <col min="4361" max="4361" width="2.7109375" style="135" customWidth="1"/>
    <col min="4362" max="4362" width="7.5703125" style="135" bestFit="1" customWidth="1"/>
    <col min="4363" max="4363" width="7.7109375" style="135" bestFit="1" customWidth="1"/>
    <col min="4364" max="4364" width="7.5703125" style="135" bestFit="1" customWidth="1"/>
    <col min="4365" max="4609" width="8.85546875" style="135"/>
    <col min="4610" max="4610" width="20.28515625" style="135" customWidth="1"/>
    <col min="4611" max="4611" width="43.42578125" style="135" bestFit="1" customWidth="1"/>
    <col min="4612" max="4612" width="8.7109375" style="135" customWidth="1"/>
    <col min="4613" max="4613" width="2.7109375" style="135" customWidth="1"/>
    <col min="4614" max="4614" width="9.140625" style="135" bestFit="1" customWidth="1"/>
    <col min="4615" max="4615" width="7.7109375" style="135" bestFit="1" customWidth="1"/>
    <col min="4616" max="4616" width="7.5703125" style="135" bestFit="1" customWidth="1"/>
    <col min="4617" max="4617" width="2.7109375" style="135" customWidth="1"/>
    <col min="4618" max="4618" width="7.5703125" style="135" bestFit="1" customWidth="1"/>
    <col min="4619" max="4619" width="7.7109375" style="135" bestFit="1" customWidth="1"/>
    <col min="4620" max="4620" width="7.5703125" style="135" bestFit="1" customWidth="1"/>
    <col min="4621" max="4865" width="8.85546875" style="135"/>
    <col min="4866" max="4866" width="20.28515625" style="135" customWidth="1"/>
    <col min="4867" max="4867" width="43.42578125" style="135" bestFit="1" customWidth="1"/>
    <col min="4868" max="4868" width="8.7109375" style="135" customWidth="1"/>
    <col min="4869" max="4869" width="2.7109375" style="135" customWidth="1"/>
    <col min="4870" max="4870" width="9.140625" style="135" bestFit="1" customWidth="1"/>
    <col min="4871" max="4871" width="7.7109375" style="135" bestFit="1" customWidth="1"/>
    <col min="4872" max="4872" width="7.5703125" style="135" bestFit="1" customWidth="1"/>
    <col min="4873" max="4873" width="2.7109375" style="135" customWidth="1"/>
    <col min="4874" max="4874" width="7.5703125" style="135" bestFit="1" customWidth="1"/>
    <col min="4875" max="4875" width="7.7109375" style="135" bestFit="1" customWidth="1"/>
    <col min="4876" max="4876" width="7.5703125" style="135" bestFit="1" customWidth="1"/>
    <col min="4877" max="5121" width="8.85546875" style="135"/>
    <col min="5122" max="5122" width="20.28515625" style="135" customWidth="1"/>
    <col min="5123" max="5123" width="43.42578125" style="135" bestFit="1" customWidth="1"/>
    <col min="5124" max="5124" width="8.7109375" style="135" customWidth="1"/>
    <col min="5125" max="5125" width="2.7109375" style="135" customWidth="1"/>
    <col min="5126" max="5126" width="9.140625" style="135" bestFit="1" customWidth="1"/>
    <col min="5127" max="5127" width="7.7109375" style="135" bestFit="1" customWidth="1"/>
    <col min="5128" max="5128" width="7.5703125" style="135" bestFit="1" customWidth="1"/>
    <col min="5129" max="5129" width="2.7109375" style="135" customWidth="1"/>
    <col min="5130" max="5130" width="7.5703125" style="135" bestFit="1" customWidth="1"/>
    <col min="5131" max="5131" width="7.7109375" style="135" bestFit="1" customWidth="1"/>
    <col min="5132" max="5132" width="7.5703125" style="135" bestFit="1" customWidth="1"/>
    <col min="5133" max="5377" width="8.85546875" style="135"/>
    <col min="5378" max="5378" width="20.28515625" style="135" customWidth="1"/>
    <col min="5379" max="5379" width="43.42578125" style="135" bestFit="1" customWidth="1"/>
    <col min="5380" max="5380" width="8.7109375" style="135" customWidth="1"/>
    <col min="5381" max="5381" width="2.7109375" style="135" customWidth="1"/>
    <col min="5382" max="5382" width="9.140625" style="135" bestFit="1" customWidth="1"/>
    <col min="5383" max="5383" width="7.7109375" style="135" bestFit="1" customWidth="1"/>
    <col min="5384" max="5384" width="7.5703125" style="135" bestFit="1" customWidth="1"/>
    <col min="5385" max="5385" width="2.7109375" style="135" customWidth="1"/>
    <col min="5386" max="5386" width="7.5703125" style="135" bestFit="1" customWidth="1"/>
    <col min="5387" max="5387" width="7.7109375" style="135" bestFit="1" customWidth="1"/>
    <col min="5388" max="5388" width="7.5703125" style="135" bestFit="1" customWidth="1"/>
    <col min="5389" max="5633" width="8.85546875" style="135"/>
    <col min="5634" max="5634" width="20.28515625" style="135" customWidth="1"/>
    <col min="5635" max="5635" width="43.42578125" style="135" bestFit="1" customWidth="1"/>
    <col min="5636" max="5636" width="8.7109375" style="135" customWidth="1"/>
    <col min="5637" max="5637" width="2.7109375" style="135" customWidth="1"/>
    <col min="5638" max="5638" width="9.140625" style="135" bestFit="1" customWidth="1"/>
    <col min="5639" max="5639" width="7.7109375" style="135" bestFit="1" customWidth="1"/>
    <col min="5640" max="5640" width="7.5703125" style="135" bestFit="1" customWidth="1"/>
    <col min="5641" max="5641" width="2.7109375" style="135" customWidth="1"/>
    <col min="5642" max="5642" width="7.5703125" style="135" bestFit="1" customWidth="1"/>
    <col min="5643" max="5643" width="7.7109375" style="135" bestFit="1" customWidth="1"/>
    <col min="5644" max="5644" width="7.5703125" style="135" bestFit="1" customWidth="1"/>
    <col min="5645" max="5889" width="8.85546875" style="135"/>
    <col min="5890" max="5890" width="20.28515625" style="135" customWidth="1"/>
    <col min="5891" max="5891" width="43.42578125" style="135" bestFit="1" customWidth="1"/>
    <col min="5892" max="5892" width="8.7109375" style="135" customWidth="1"/>
    <col min="5893" max="5893" width="2.7109375" style="135" customWidth="1"/>
    <col min="5894" max="5894" width="9.140625" style="135" bestFit="1" customWidth="1"/>
    <col min="5895" max="5895" width="7.7109375" style="135" bestFit="1" customWidth="1"/>
    <col min="5896" max="5896" width="7.5703125" style="135" bestFit="1" customWidth="1"/>
    <col min="5897" max="5897" width="2.7109375" style="135" customWidth="1"/>
    <col min="5898" max="5898" width="7.5703125" style="135" bestFit="1" customWidth="1"/>
    <col min="5899" max="5899" width="7.7109375" style="135" bestFit="1" customWidth="1"/>
    <col min="5900" max="5900" width="7.5703125" style="135" bestFit="1" customWidth="1"/>
    <col min="5901" max="6145" width="8.85546875" style="135"/>
    <col min="6146" max="6146" width="20.28515625" style="135" customWidth="1"/>
    <col min="6147" max="6147" width="43.42578125" style="135" bestFit="1" customWidth="1"/>
    <col min="6148" max="6148" width="8.7109375" style="135" customWidth="1"/>
    <col min="6149" max="6149" width="2.7109375" style="135" customWidth="1"/>
    <col min="6150" max="6150" width="9.140625" style="135" bestFit="1" customWidth="1"/>
    <col min="6151" max="6151" width="7.7109375" style="135" bestFit="1" customWidth="1"/>
    <col min="6152" max="6152" width="7.5703125" style="135" bestFit="1" customWidth="1"/>
    <col min="6153" max="6153" width="2.7109375" style="135" customWidth="1"/>
    <col min="6154" max="6154" width="7.5703125" style="135" bestFit="1" customWidth="1"/>
    <col min="6155" max="6155" width="7.7109375" style="135" bestFit="1" customWidth="1"/>
    <col min="6156" max="6156" width="7.5703125" style="135" bestFit="1" customWidth="1"/>
    <col min="6157" max="6401" width="8.85546875" style="135"/>
    <col min="6402" max="6402" width="20.28515625" style="135" customWidth="1"/>
    <col min="6403" max="6403" width="43.42578125" style="135" bestFit="1" customWidth="1"/>
    <col min="6404" max="6404" width="8.7109375" style="135" customWidth="1"/>
    <col min="6405" max="6405" width="2.7109375" style="135" customWidth="1"/>
    <col min="6406" max="6406" width="9.140625" style="135" bestFit="1" customWidth="1"/>
    <col min="6407" max="6407" width="7.7109375" style="135" bestFit="1" customWidth="1"/>
    <col min="6408" max="6408" width="7.5703125" style="135" bestFit="1" customWidth="1"/>
    <col min="6409" max="6409" width="2.7109375" style="135" customWidth="1"/>
    <col min="6410" max="6410" width="7.5703125" style="135" bestFit="1" customWidth="1"/>
    <col min="6411" max="6411" width="7.7109375" style="135" bestFit="1" customWidth="1"/>
    <col min="6412" max="6412" width="7.5703125" style="135" bestFit="1" customWidth="1"/>
    <col min="6413" max="6657" width="8.85546875" style="135"/>
    <col min="6658" max="6658" width="20.28515625" style="135" customWidth="1"/>
    <col min="6659" max="6659" width="43.42578125" style="135" bestFit="1" customWidth="1"/>
    <col min="6660" max="6660" width="8.7109375" style="135" customWidth="1"/>
    <col min="6661" max="6661" width="2.7109375" style="135" customWidth="1"/>
    <col min="6662" max="6662" width="9.140625" style="135" bestFit="1" customWidth="1"/>
    <col min="6663" max="6663" width="7.7109375" style="135" bestFit="1" customWidth="1"/>
    <col min="6664" max="6664" width="7.5703125" style="135" bestFit="1" customWidth="1"/>
    <col min="6665" max="6665" width="2.7109375" style="135" customWidth="1"/>
    <col min="6666" max="6666" width="7.5703125" style="135" bestFit="1" customWidth="1"/>
    <col min="6667" max="6667" width="7.7109375" style="135" bestFit="1" customWidth="1"/>
    <col min="6668" max="6668" width="7.5703125" style="135" bestFit="1" customWidth="1"/>
    <col min="6669" max="6913" width="8.85546875" style="135"/>
    <col min="6914" max="6914" width="20.28515625" style="135" customWidth="1"/>
    <col min="6915" max="6915" width="43.42578125" style="135" bestFit="1" customWidth="1"/>
    <col min="6916" max="6916" width="8.7109375" style="135" customWidth="1"/>
    <col min="6917" max="6917" width="2.7109375" style="135" customWidth="1"/>
    <col min="6918" max="6918" width="9.140625" style="135" bestFit="1" customWidth="1"/>
    <col min="6919" max="6919" width="7.7109375" style="135" bestFit="1" customWidth="1"/>
    <col min="6920" max="6920" width="7.5703125" style="135" bestFit="1" customWidth="1"/>
    <col min="6921" max="6921" width="2.7109375" style="135" customWidth="1"/>
    <col min="6922" max="6922" width="7.5703125" style="135" bestFit="1" customWidth="1"/>
    <col min="6923" max="6923" width="7.7109375" style="135" bestFit="1" customWidth="1"/>
    <col min="6924" max="6924" width="7.5703125" style="135" bestFit="1" customWidth="1"/>
    <col min="6925" max="7169" width="8.85546875" style="135"/>
    <col min="7170" max="7170" width="20.28515625" style="135" customWidth="1"/>
    <col min="7171" max="7171" width="43.42578125" style="135" bestFit="1" customWidth="1"/>
    <col min="7172" max="7172" width="8.7109375" style="135" customWidth="1"/>
    <col min="7173" max="7173" width="2.7109375" style="135" customWidth="1"/>
    <col min="7174" max="7174" width="9.140625" style="135" bestFit="1" customWidth="1"/>
    <col min="7175" max="7175" width="7.7109375" style="135" bestFit="1" customWidth="1"/>
    <col min="7176" max="7176" width="7.5703125" style="135" bestFit="1" customWidth="1"/>
    <col min="7177" max="7177" width="2.7109375" style="135" customWidth="1"/>
    <col min="7178" max="7178" width="7.5703125" style="135" bestFit="1" customWidth="1"/>
    <col min="7179" max="7179" width="7.7109375" style="135" bestFit="1" customWidth="1"/>
    <col min="7180" max="7180" width="7.5703125" style="135" bestFit="1" customWidth="1"/>
    <col min="7181" max="7425" width="8.85546875" style="135"/>
    <col min="7426" max="7426" width="20.28515625" style="135" customWidth="1"/>
    <col min="7427" max="7427" width="43.42578125" style="135" bestFit="1" customWidth="1"/>
    <col min="7428" max="7428" width="8.7109375" style="135" customWidth="1"/>
    <col min="7429" max="7429" width="2.7109375" style="135" customWidth="1"/>
    <col min="7430" max="7430" width="9.140625" style="135" bestFit="1" customWidth="1"/>
    <col min="7431" max="7431" width="7.7109375" style="135" bestFit="1" customWidth="1"/>
    <col min="7432" max="7432" width="7.5703125" style="135" bestFit="1" customWidth="1"/>
    <col min="7433" max="7433" width="2.7109375" style="135" customWidth="1"/>
    <col min="7434" max="7434" width="7.5703125" style="135" bestFit="1" customWidth="1"/>
    <col min="7435" max="7435" width="7.7109375" style="135" bestFit="1" customWidth="1"/>
    <col min="7436" max="7436" width="7.5703125" style="135" bestFit="1" customWidth="1"/>
    <col min="7437" max="7681" width="8.85546875" style="135"/>
    <col min="7682" max="7682" width="20.28515625" style="135" customWidth="1"/>
    <col min="7683" max="7683" width="43.42578125" style="135" bestFit="1" customWidth="1"/>
    <col min="7684" max="7684" width="8.7109375" style="135" customWidth="1"/>
    <col min="7685" max="7685" width="2.7109375" style="135" customWidth="1"/>
    <col min="7686" max="7686" width="9.140625" style="135" bestFit="1" customWidth="1"/>
    <col min="7687" max="7687" width="7.7109375" style="135" bestFit="1" customWidth="1"/>
    <col min="7688" max="7688" width="7.5703125" style="135" bestFit="1" customWidth="1"/>
    <col min="7689" max="7689" width="2.7109375" style="135" customWidth="1"/>
    <col min="7690" max="7690" width="7.5703125" style="135" bestFit="1" customWidth="1"/>
    <col min="7691" max="7691" width="7.7109375" style="135" bestFit="1" customWidth="1"/>
    <col min="7692" max="7692" width="7.5703125" style="135" bestFit="1" customWidth="1"/>
    <col min="7693" max="7937" width="8.85546875" style="135"/>
    <col min="7938" max="7938" width="20.28515625" style="135" customWidth="1"/>
    <col min="7939" max="7939" width="43.42578125" style="135" bestFit="1" customWidth="1"/>
    <col min="7940" max="7940" width="8.7109375" style="135" customWidth="1"/>
    <col min="7941" max="7941" width="2.7109375" style="135" customWidth="1"/>
    <col min="7942" max="7942" width="9.140625" style="135" bestFit="1" customWidth="1"/>
    <col min="7943" max="7943" width="7.7109375" style="135" bestFit="1" customWidth="1"/>
    <col min="7944" max="7944" width="7.5703125" style="135" bestFit="1" customWidth="1"/>
    <col min="7945" max="7945" width="2.7109375" style="135" customWidth="1"/>
    <col min="7946" max="7946" width="7.5703125" style="135" bestFit="1" customWidth="1"/>
    <col min="7947" max="7947" width="7.7109375" style="135" bestFit="1" customWidth="1"/>
    <col min="7948" max="7948" width="7.5703125" style="135" bestFit="1" customWidth="1"/>
    <col min="7949" max="8193" width="8.85546875" style="135"/>
    <col min="8194" max="8194" width="20.28515625" style="135" customWidth="1"/>
    <col min="8195" max="8195" width="43.42578125" style="135" bestFit="1" customWidth="1"/>
    <col min="8196" max="8196" width="8.7109375" style="135" customWidth="1"/>
    <col min="8197" max="8197" width="2.7109375" style="135" customWidth="1"/>
    <col min="8198" max="8198" width="9.140625" style="135" bestFit="1" customWidth="1"/>
    <col min="8199" max="8199" width="7.7109375" style="135" bestFit="1" customWidth="1"/>
    <col min="8200" max="8200" width="7.5703125" style="135" bestFit="1" customWidth="1"/>
    <col min="8201" max="8201" width="2.7109375" style="135" customWidth="1"/>
    <col min="8202" max="8202" width="7.5703125" style="135" bestFit="1" customWidth="1"/>
    <col min="8203" max="8203" width="7.7109375" style="135" bestFit="1" customWidth="1"/>
    <col min="8204" max="8204" width="7.5703125" style="135" bestFit="1" customWidth="1"/>
    <col min="8205" max="8449" width="8.85546875" style="135"/>
    <col min="8450" max="8450" width="20.28515625" style="135" customWidth="1"/>
    <col min="8451" max="8451" width="43.42578125" style="135" bestFit="1" customWidth="1"/>
    <col min="8452" max="8452" width="8.7109375" style="135" customWidth="1"/>
    <col min="8453" max="8453" width="2.7109375" style="135" customWidth="1"/>
    <col min="8454" max="8454" width="9.140625" style="135" bestFit="1" customWidth="1"/>
    <col min="8455" max="8455" width="7.7109375" style="135" bestFit="1" customWidth="1"/>
    <col min="8456" max="8456" width="7.5703125" style="135" bestFit="1" customWidth="1"/>
    <col min="8457" max="8457" width="2.7109375" style="135" customWidth="1"/>
    <col min="8458" max="8458" width="7.5703125" style="135" bestFit="1" customWidth="1"/>
    <col min="8459" max="8459" width="7.7109375" style="135" bestFit="1" customWidth="1"/>
    <col min="8460" max="8460" width="7.5703125" style="135" bestFit="1" customWidth="1"/>
    <col min="8461" max="8705" width="8.85546875" style="135"/>
    <col min="8706" max="8706" width="20.28515625" style="135" customWidth="1"/>
    <col min="8707" max="8707" width="43.42578125" style="135" bestFit="1" customWidth="1"/>
    <col min="8708" max="8708" width="8.7109375" style="135" customWidth="1"/>
    <col min="8709" max="8709" width="2.7109375" style="135" customWidth="1"/>
    <col min="8710" max="8710" width="9.140625" style="135" bestFit="1" customWidth="1"/>
    <col min="8711" max="8711" width="7.7109375" style="135" bestFit="1" customWidth="1"/>
    <col min="8712" max="8712" width="7.5703125" style="135" bestFit="1" customWidth="1"/>
    <col min="8713" max="8713" width="2.7109375" style="135" customWidth="1"/>
    <col min="8714" max="8714" width="7.5703125" style="135" bestFit="1" customWidth="1"/>
    <col min="8715" max="8715" width="7.7109375" style="135" bestFit="1" customWidth="1"/>
    <col min="8716" max="8716" width="7.5703125" style="135" bestFit="1" customWidth="1"/>
    <col min="8717" max="8961" width="8.85546875" style="135"/>
    <col min="8962" max="8962" width="20.28515625" style="135" customWidth="1"/>
    <col min="8963" max="8963" width="43.42578125" style="135" bestFit="1" customWidth="1"/>
    <col min="8964" max="8964" width="8.7109375" style="135" customWidth="1"/>
    <col min="8965" max="8965" width="2.7109375" style="135" customWidth="1"/>
    <col min="8966" max="8966" width="9.140625" style="135" bestFit="1" customWidth="1"/>
    <col min="8967" max="8967" width="7.7109375" style="135" bestFit="1" customWidth="1"/>
    <col min="8968" max="8968" width="7.5703125" style="135" bestFit="1" customWidth="1"/>
    <col min="8969" max="8969" width="2.7109375" style="135" customWidth="1"/>
    <col min="8970" max="8970" width="7.5703125" style="135" bestFit="1" customWidth="1"/>
    <col min="8971" max="8971" width="7.7109375" style="135" bestFit="1" customWidth="1"/>
    <col min="8972" max="8972" width="7.5703125" style="135" bestFit="1" customWidth="1"/>
    <col min="8973" max="9217" width="8.85546875" style="135"/>
    <col min="9218" max="9218" width="20.28515625" style="135" customWidth="1"/>
    <col min="9219" max="9219" width="43.42578125" style="135" bestFit="1" customWidth="1"/>
    <col min="9220" max="9220" width="8.7109375" style="135" customWidth="1"/>
    <col min="9221" max="9221" width="2.7109375" style="135" customWidth="1"/>
    <col min="9222" max="9222" width="9.140625" style="135" bestFit="1" customWidth="1"/>
    <col min="9223" max="9223" width="7.7109375" style="135" bestFit="1" customWidth="1"/>
    <col min="9224" max="9224" width="7.5703125" style="135" bestFit="1" customWidth="1"/>
    <col min="9225" max="9225" width="2.7109375" style="135" customWidth="1"/>
    <col min="9226" max="9226" width="7.5703125" style="135" bestFit="1" customWidth="1"/>
    <col min="9227" max="9227" width="7.7109375" style="135" bestFit="1" customWidth="1"/>
    <col min="9228" max="9228" width="7.5703125" style="135" bestFit="1" customWidth="1"/>
    <col min="9229" max="9473" width="8.85546875" style="135"/>
    <col min="9474" max="9474" width="20.28515625" style="135" customWidth="1"/>
    <col min="9475" max="9475" width="43.42578125" style="135" bestFit="1" customWidth="1"/>
    <col min="9476" max="9476" width="8.7109375" style="135" customWidth="1"/>
    <col min="9477" max="9477" width="2.7109375" style="135" customWidth="1"/>
    <col min="9478" max="9478" width="9.140625" style="135" bestFit="1" customWidth="1"/>
    <col min="9479" max="9479" width="7.7109375" style="135" bestFit="1" customWidth="1"/>
    <col min="9480" max="9480" width="7.5703125" style="135" bestFit="1" customWidth="1"/>
    <col min="9481" max="9481" width="2.7109375" style="135" customWidth="1"/>
    <col min="9482" max="9482" width="7.5703125" style="135" bestFit="1" customWidth="1"/>
    <col min="9483" max="9483" width="7.7109375" style="135" bestFit="1" customWidth="1"/>
    <col min="9484" max="9484" width="7.5703125" style="135" bestFit="1" customWidth="1"/>
    <col min="9485" max="9729" width="8.85546875" style="135"/>
    <col min="9730" max="9730" width="20.28515625" style="135" customWidth="1"/>
    <col min="9731" max="9731" width="43.42578125" style="135" bestFit="1" customWidth="1"/>
    <col min="9732" max="9732" width="8.7109375" style="135" customWidth="1"/>
    <col min="9733" max="9733" width="2.7109375" style="135" customWidth="1"/>
    <col min="9734" max="9734" width="9.140625" style="135" bestFit="1" customWidth="1"/>
    <col min="9735" max="9735" width="7.7109375" style="135" bestFit="1" customWidth="1"/>
    <col min="9736" max="9736" width="7.5703125" style="135" bestFit="1" customWidth="1"/>
    <col min="9737" max="9737" width="2.7109375" style="135" customWidth="1"/>
    <col min="9738" max="9738" width="7.5703125" style="135" bestFit="1" customWidth="1"/>
    <col min="9739" max="9739" width="7.7109375" style="135" bestFit="1" customWidth="1"/>
    <col min="9740" max="9740" width="7.5703125" style="135" bestFit="1" customWidth="1"/>
    <col min="9741" max="9985" width="8.85546875" style="135"/>
    <col min="9986" max="9986" width="20.28515625" style="135" customWidth="1"/>
    <col min="9987" max="9987" width="43.42578125" style="135" bestFit="1" customWidth="1"/>
    <col min="9988" max="9988" width="8.7109375" style="135" customWidth="1"/>
    <col min="9989" max="9989" width="2.7109375" style="135" customWidth="1"/>
    <col min="9990" max="9990" width="9.140625" style="135" bestFit="1" customWidth="1"/>
    <col min="9991" max="9991" width="7.7109375" style="135" bestFit="1" customWidth="1"/>
    <col min="9992" max="9992" width="7.5703125" style="135" bestFit="1" customWidth="1"/>
    <col min="9993" max="9993" width="2.7109375" style="135" customWidth="1"/>
    <col min="9994" max="9994" width="7.5703125" style="135" bestFit="1" customWidth="1"/>
    <col min="9995" max="9995" width="7.7109375" style="135" bestFit="1" customWidth="1"/>
    <col min="9996" max="9996" width="7.5703125" style="135" bestFit="1" customWidth="1"/>
    <col min="9997" max="10241" width="8.85546875" style="135"/>
    <col min="10242" max="10242" width="20.28515625" style="135" customWidth="1"/>
    <col min="10243" max="10243" width="43.42578125" style="135" bestFit="1" customWidth="1"/>
    <col min="10244" max="10244" width="8.7109375" style="135" customWidth="1"/>
    <col min="10245" max="10245" width="2.7109375" style="135" customWidth="1"/>
    <col min="10246" max="10246" width="9.140625" style="135" bestFit="1" customWidth="1"/>
    <col min="10247" max="10247" width="7.7109375" style="135" bestFit="1" customWidth="1"/>
    <col min="10248" max="10248" width="7.5703125" style="135" bestFit="1" customWidth="1"/>
    <col min="10249" max="10249" width="2.7109375" style="135" customWidth="1"/>
    <col min="10250" max="10250" width="7.5703125" style="135" bestFit="1" customWidth="1"/>
    <col min="10251" max="10251" width="7.7109375" style="135" bestFit="1" customWidth="1"/>
    <col min="10252" max="10252" width="7.5703125" style="135" bestFit="1" customWidth="1"/>
    <col min="10253" max="10497" width="8.85546875" style="135"/>
    <col min="10498" max="10498" width="20.28515625" style="135" customWidth="1"/>
    <col min="10499" max="10499" width="43.42578125" style="135" bestFit="1" customWidth="1"/>
    <col min="10500" max="10500" width="8.7109375" style="135" customWidth="1"/>
    <col min="10501" max="10501" width="2.7109375" style="135" customWidth="1"/>
    <col min="10502" max="10502" width="9.140625" style="135" bestFit="1" customWidth="1"/>
    <col min="10503" max="10503" width="7.7109375" style="135" bestFit="1" customWidth="1"/>
    <col min="10504" max="10504" width="7.5703125" style="135" bestFit="1" customWidth="1"/>
    <col min="10505" max="10505" width="2.7109375" style="135" customWidth="1"/>
    <col min="10506" max="10506" width="7.5703125" style="135" bestFit="1" customWidth="1"/>
    <col min="10507" max="10507" width="7.7109375" style="135" bestFit="1" customWidth="1"/>
    <col min="10508" max="10508" width="7.5703125" style="135" bestFit="1" customWidth="1"/>
    <col min="10509" max="10753" width="8.85546875" style="135"/>
    <col min="10754" max="10754" width="20.28515625" style="135" customWidth="1"/>
    <col min="10755" max="10755" width="43.42578125" style="135" bestFit="1" customWidth="1"/>
    <col min="10756" max="10756" width="8.7109375" style="135" customWidth="1"/>
    <col min="10757" max="10757" width="2.7109375" style="135" customWidth="1"/>
    <col min="10758" max="10758" width="9.140625" style="135" bestFit="1" customWidth="1"/>
    <col min="10759" max="10759" width="7.7109375" style="135" bestFit="1" customWidth="1"/>
    <col min="10760" max="10760" width="7.5703125" style="135" bestFit="1" customWidth="1"/>
    <col min="10761" max="10761" width="2.7109375" style="135" customWidth="1"/>
    <col min="10762" max="10762" width="7.5703125" style="135" bestFit="1" customWidth="1"/>
    <col min="10763" max="10763" width="7.7109375" style="135" bestFit="1" customWidth="1"/>
    <col min="10764" max="10764" width="7.5703125" style="135" bestFit="1" customWidth="1"/>
    <col min="10765" max="11009" width="8.85546875" style="135"/>
    <col min="11010" max="11010" width="20.28515625" style="135" customWidth="1"/>
    <col min="11011" max="11011" width="43.42578125" style="135" bestFit="1" customWidth="1"/>
    <col min="11012" max="11012" width="8.7109375" style="135" customWidth="1"/>
    <col min="11013" max="11013" width="2.7109375" style="135" customWidth="1"/>
    <col min="11014" max="11014" width="9.140625" style="135" bestFit="1" customWidth="1"/>
    <col min="11015" max="11015" width="7.7109375" style="135" bestFit="1" customWidth="1"/>
    <col min="11016" max="11016" width="7.5703125" style="135" bestFit="1" customWidth="1"/>
    <col min="11017" max="11017" width="2.7109375" style="135" customWidth="1"/>
    <col min="11018" max="11018" width="7.5703125" style="135" bestFit="1" customWidth="1"/>
    <col min="11019" max="11019" width="7.7109375" style="135" bestFit="1" customWidth="1"/>
    <col min="11020" max="11020" width="7.5703125" style="135" bestFit="1" customWidth="1"/>
    <col min="11021" max="11265" width="8.85546875" style="135"/>
    <col min="11266" max="11266" width="20.28515625" style="135" customWidth="1"/>
    <col min="11267" max="11267" width="43.42578125" style="135" bestFit="1" customWidth="1"/>
    <col min="11268" max="11268" width="8.7109375" style="135" customWidth="1"/>
    <col min="11269" max="11269" width="2.7109375" style="135" customWidth="1"/>
    <col min="11270" max="11270" width="9.140625" style="135" bestFit="1" customWidth="1"/>
    <col min="11271" max="11271" width="7.7109375" style="135" bestFit="1" customWidth="1"/>
    <col min="11272" max="11272" width="7.5703125" style="135" bestFit="1" customWidth="1"/>
    <col min="11273" max="11273" width="2.7109375" style="135" customWidth="1"/>
    <col min="11274" max="11274" width="7.5703125" style="135" bestFit="1" customWidth="1"/>
    <col min="11275" max="11275" width="7.7109375" style="135" bestFit="1" customWidth="1"/>
    <col min="11276" max="11276" width="7.5703125" style="135" bestFit="1" customWidth="1"/>
    <col min="11277" max="11521" width="8.85546875" style="135"/>
    <col min="11522" max="11522" width="20.28515625" style="135" customWidth="1"/>
    <col min="11523" max="11523" width="43.42578125" style="135" bestFit="1" customWidth="1"/>
    <col min="11524" max="11524" width="8.7109375" style="135" customWidth="1"/>
    <col min="11525" max="11525" width="2.7109375" style="135" customWidth="1"/>
    <col min="11526" max="11526" width="9.140625" style="135" bestFit="1" customWidth="1"/>
    <col min="11527" max="11527" width="7.7109375" style="135" bestFit="1" customWidth="1"/>
    <col min="11528" max="11528" width="7.5703125" style="135" bestFit="1" customWidth="1"/>
    <col min="11529" max="11529" width="2.7109375" style="135" customWidth="1"/>
    <col min="11530" max="11530" width="7.5703125" style="135" bestFit="1" customWidth="1"/>
    <col min="11531" max="11531" width="7.7109375" style="135" bestFit="1" customWidth="1"/>
    <col min="11532" max="11532" width="7.5703125" style="135" bestFit="1" customWidth="1"/>
    <col min="11533" max="11777" width="8.85546875" style="135"/>
    <col min="11778" max="11778" width="20.28515625" style="135" customWidth="1"/>
    <col min="11779" max="11779" width="43.42578125" style="135" bestFit="1" customWidth="1"/>
    <col min="11780" max="11780" width="8.7109375" style="135" customWidth="1"/>
    <col min="11781" max="11781" width="2.7109375" style="135" customWidth="1"/>
    <col min="11782" max="11782" width="9.140625" style="135" bestFit="1" customWidth="1"/>
    <col min="11783" max="11783" width="7.7109375" style="135" bestFit="1" customWidth="1"/>
    <col min="11784" max="11784" width="7.5703125" style="135" bestFit="1" customWidth="1"/>
    <col min="11785" max="11785" width="2.7109375" style="135" customWidth="1"/>
    <col min="11786" max="11786" width="7.5703125" style="135" bestFit="1" customWidth="1"/>
    <col min="11787" max="11787" width="7.7109375" style="135" bestFit="1" customWidth="1"/>
    <col min="11788" max="11788" width="7.5703125" style="135" bestFit="1" customWidth="1"/>
    <col min="11789" max="12033" width="8.85546875" style="135"/>
    <col min="12034" max="12034" width="20.28515625" style="135" customWidth="1"/>
    <col min="12035" max="12035" width="43.42578125" style="135" bestFit="1" customWidth="1"/>
    <col min="12036" max="12036" width="8.7109375" style="135" customWidth="1"/>
    <col min="12037" max="12037" width="2.7109375" style="135" customWidth="1"/>
    <col min="12038" max="12038" width="9.140625" style="135" bestFit="1" customWidth="1"/>
    <col min="12039" max="12039" width="7.7109375" style="135" bestFit="1" customWidth="1"/>
    <col min="12040" max="12040" width="7.5703125" style="135" bestFit="1" customWidth="1"/>
    <col min="12041" max="12041" width="2.7109375" style="135" customWidth="1"/>
    <col min="12042" max="12042" width="7.5703125" style="135" bestFit="1" customWidth="1"/>
    <col min="12043" max="12043" width="7.7109375" style="135" bestFit="1" customWidth="1"/>
    <col min="12044" max="12044" width="7.5703125" style="135" bestFit="1" customWidth="1"/>
    <col min="12045" max="12289" width="8.85546875" style="135"/>
    <col min="12290" max="12290" width="20.28515625" style="135" customWidth="1"/>
    <col min="12291" max="12291" width="43.42578125" style="135" bestFit="1" customWidth="1"/>
    <col min="12292" max="12292" width="8.7109375" style="135" customWidth="1"/>
    <col min="12293" max="12293" width="2.7109375" style="135" customWidth="1"/>
    <col min="12294" max="12294" width="9.140625" style="135" bestFit="1" customWidth="1"/>
    <col min="12295" max="12295" width="7.7109375" style="135" bestFit="1" customWidth="1"/>
    <col min="12296" max="12296" width="7.5703125" style="135" bestFit="1" customWidth="1"/>
    <col min="12297" max="12297" width="2.7109375" style="135" customWidth="1"/>
    <col min="12298" max="12298" width="7.5703125" style="135" bestFit="1" customWidth="1"/>
    <col min="12299" max="12299" width="7.7109375" style="135" bestFit="1" customWidth="1"/>
    <col min="12300" max="12300" width="7.5703125" style="135" bestFit="1" customWidth="1"/>
    <col min="12301" max="12545" width="8.85546875" style="135"/>
    <col min="12546" max="12546" width="20.28515625" style="135" customWidth="1"/>
    <col min="12547" max="12547" width="43.42578125" style="135" bestFit="1" customWidth="1"/>
    <col min="12548" max="12548" width="8.7109375" style="135" customWidth="1"/>
    <col min="12549" max="12549" width="2.7109375" style="135" customWidth="1"/>
    <col min="12550" max="12550" width="9.140625" style="135" bestFit="1" customWidth="1"/>
    <col min="12551" max="12551" width="7.7109375" style="135" bestFit="1" customWidth="1"/>
    <col min="12552" max="12552" width="7.5703125" style="135" bestFit="1" customWidth="1"/>
    <col min="12553" max="12553" width="2.7109375" style="135" customWidth="1"/>
    <col min="12554" max="12554" width="7.5703125" style="135" bestFit="1" customWidth="1"/>
    <col min="12555" max="12555" width="7.7109375" style="135" bestFit="1" customWidth="1"/>
    <col min="12556" max="12556" width="7.5703125" style="135" bestFit="1" customWidth="1"/>
    <col min="12557" max="12801" width="8.85546875" style="135"/>
    <col min="12802" max="12802" width="20.28515625" style="135" customWidth="1"/>
    <col min="12803" max="12803" width="43.42578125" style="135" bestFit="1" customWidth="1"/>
    <col min="12804" max="12804" width="8.7109375" style="135" customWidth="1"/>
    <col min="12805" max="12805" width="2.7109375" style="135" customWidth="1"/>
    <col min="12806" max="12806" width="9.140625" style="135" bestFit="1" customWidth="1"/>
    <col min="12807" max="12807" width="7.7109375" style="135" bestFit="1" customWidth="1"/>
    <col min="12808" max="12808" width="7.5703125" style="135" bestFit="1" customWidth="1"/>
    <col min="12809" max="12809" width="2.7109375" style="135" customWidth="1"/>
    <col min="12810" max="12810" width="7.5703125" style="135" bestFit="1" customWidth="1"/>
    <col min="12811" max="12811" width="7.7109375" style="135" bestFit="1" customWidth="1"/>
    <col min="12812" max="12812" width="7.5703125" style="135" bestFit="1" customWidth="1"/>
    <col min="12813" max="13057" width="8.85546875" style="135"/>
    <col min="13058" max="13058" width="20.28515625" style="135" customWidth="1"/>
    <col min="13059" max="13059" width="43.42578125" style="135" bestFit="1" customWidth="1"/>
    <col min="13060" max="13060" width="8.7109375" style="135" customWidth="1"/>
    <col min="13061" max="13061" width="2.7109375" style="135" customWidth="1"/>
    <col min="13062" max="13062" width="9.140625" style="135" bestFit="1" customWidth="1"/>
    <col min="13063" max="13063" width="7.7109375" style="135" bestFit="1" customWidth="1"/>
    <col min="13064" max="13064" width="7.5703125" style="135" bestFit="1" customWidth="1"/>
    <col min="13065" max="13065" width="2.7109375" style="135" customWidth="1"/>
    <col min="13066" max="13066" width="7.5703125" style="135" bestFit="1" customWidth="1"/>
    <col min="13067" max="13067" width="7.7109375" style="135" bestFit="1" customWidth="1"/>
    <col min="13068" max="13068" width="7.5703125" style="135" bestFit="1" customWidth="1"/>
    <col min="13069" max="13313" width="8.85546875" style="135"/>
    <col min="13314" max="13314" width="20.28515625" style="135" customWidth="1"/>
    <col min="13315" max="13315" width="43.42578125" style="135" bestFit="1" customWidth="1"/>
    <col min="13316" max="13316" width="8.7109375" style="135" customWidth="1"/>
    <col min="13317" max="13317" width="2.7109375" style="135" customWidth="1"/>
    <col min="13318" max="13318" width="9.140625" style="135" bestFit="1" customWidth="1"/>
    <col min="13319" max="13319" width="7.7109375" style="135" bestFit="1" customWidth="1"/>
    <col min="13320" max="13320" width="7.5703125" style="135" bestFit="1" customWidth="1"/>
    <col min="13321" max="13321" width="2.7109375" style="135" customWidth="1"/>
    <col min="13322" max="13322" width="7.5703125" style="135" bestFit="1" customWidth="1"/>
    <col min="13323" max="13323" width="7.7109375" style="135" bestFit="1" customWidth="1"/>
    <col min="13324" max="13324" width="7.5703125" style="135" bestFit="1" customWidth="1"/>
    <col min="13325" max="13569" width="8.85546875" style="135"/>
    <col min="13570" max="13570" width="20.28515625" style="135" customWidth="1"/>
    <col min="13571" max="13571" width="43.42578125" style="135" bestFit="1" customWidth="1"/>
    <col min="13572" max="13572" width="8.7109375" style="135" customWidth="1"/>
    <col min="13573" max="13573" width="2.7109375" style="135" customWidth="1"/>
    <col min="13574" max="13574" width="9.140625" style="135" bestFit="1" customWidth="1"/>
    <col min="13575" max="13575" width="7.7109375" style="135" bestFit="1" customWidth="1"/>
    <col min="13576" max="13576" width="7.5703125" style="135" bestFit="1" customWidth="1"/>
    <col min="13577" max="13577" width="2.7109375" style="135" customWidth="1"/>
    <col min="13578" max="13578" width="7.5703125" style="135" bestFit="1" customWidth="1"/>
    <col min="13579" max="13579" width="7.7109375" style="135" bestFit="1" customWidth="1"/>
    <col min="13580" max="13580" width="7.5703125" style="135" bestFit="1" customWidth="1"/>
    <col min="13581" max="13825" width="8.85546875" style="135"/>
    <col min="13826" max="13826" width="20.28515625" style="135" customWidth="1"/>
    <col min="13827" max="13827" width="43.42578125" style="135" bestFit="1" customWidth="1"/>
    <col min="13828" max="13828" width="8.7109375" style="135" customWidth="1"/>
    <col min="13829" max="13829" width="2.7109375" style="135" customWidth="1"/>
    <col min="13830" max="13830" width="9.140625" style="135" bestFit="1" customWidth="1"/>
    <col min="13831" max="13831" width="7.7109375" style="135" bestFit="1" customWidth="1"/>
    <col min="13832" max="13832" width="7.5703125" style="135" bestFit="1" customWidth="1"/>
    <col min="13833" max="13833" width="2.7109375" style="135" customWidth="1"/>
    <col min="13834" max="13834" width="7.5703125" style="135" bestFit="1" customWidth="1"/>
    <col min="13835" max="13835" width="7.7109375" style="135" bestFit="1" customWidth="1"/>
    <col min="13836" max="13836" width="7.5703125" style="135" bestFit="1" customWidth="1"/>
    <col min="13837" max="14081" width="8.85546875" style="135"/>
    <col min="14082" max="14082" width="20.28515625" style="135" customWidth="1"/>
    <col min="14083" max="14083" width="43.42578125" style="135" bestFit="1" customWidth="1"/>
    <col min="14084" max="14084" width="8.7109375" style="135" customWidth="1"/>
    <col min="14085" max="14085" width="2.7109375" style="135" customWidth="1"/>
    <col min="14086" max="14086" width="9.140625" style="135" bestFit="1" customWidth="1"/>
    <col min="14087" max="14087" width="7.7109375" style="135" bestFit="1" customWidth="1"/>
    <col min="14088" max="14088" width="7.5703125" style="135" bestFit="1" customWidth="1"/>
    <col min="14089" max="14089" width="2.7109375" style="135" customWidth="1"/>
    <col min="14090" max="14090" width="7.5703125" style="135" bestFit="1" customWidth="1"/>
    <col min="14091" max="14091" width="7.7109375" style="135" bestFit="1" customWidth="1"/>
    <col min="14092" max="14092" width="7.5703125" style="135" bestFit="1" customWidth="1"/>
    <col min="14093" max="14337" width="8.85546875" style="135"/>
    <col min="14338" max="14338" width="20.28515625" style="135" customWidth="1"/>
    <col min="14339" max="14339" width="43.42578125" style="135" bestFit="1" customWidth="1"/>
    <col min="14340" max="14340" width="8.7109375" style="135" customWidth="1"/>
    <col min="14341" max="14341" width="2.7109375" style="135" customWidth="1"/>
    <col min="14342" max="14342" width="9.140625" style="135" bestFit="1" customWidth="1"/>
    <col min="14343" max="14343" width="7.7109375" style="135" bestFit="1" customWidth="1"/>
    <col min="14344" max="14344" width="7.5703125" style="135" bestFit="1" customWidth="1"/>
    <col min="14345" max="14345" width="2.7109375" style="135" customWidth="1"/>
    <col min="14346" max="14346" width="7.5703125" style="135" bestFit="1" customWidth="1"/>
    <col min="14347" max="14347" width="7.7109375" style="135" bestFit="1" customWidth="1"/>
    <col min="14348" max="14348" width="7.5703125" style="135" bestFit="1" customWidth="1"/>
    <col min="14349" max="14593" width="8.85546875" style="135"/>
    <col min="14594" max="14594" width="20.28515625" style="135" customWidth="1"/>
    <col min="14595" max="14595" width="43.42578125" style="135" bestFit="1" customWidth="1"/>
    <col min="14596" max="14596" width="8.7109375" style="135" customWidth="1"/>
    <col min="14597" max="14597" width="2.7109375" style="135" customWidth="1"/>
    <col min="14598" max="14598" width="9.140625" style="135" bestFit="1" customWidth="1"/>
    <col min="14599" max="14599" width="7.7109375" style="135" bestFit="1" customWidth="1"/>
    <col min="14600" max="14600" width="7.5703125" style="135" bestFit="1" customWidth="1"/>
    <col min="14601" max="14601" width="2.7109375" style="135" customWidth="1"/>
    <col min="14602" max="14602" width="7.5703125" style="135" bestFit="1" customWidth="1"/>
    <col min="14603" max="14603" width="7.7109375" style="135" bestFit="1" customWidth="1"/>
    <col min="14604" max="14604" width="7.5703125" style="135" bestFit="1" customWidth="1"/>
    <col min="14605" max="14849" width="8.85546875" style="135"/>
    <col min="14850" max="14850" width="20.28515625" style="135" customWidth="1"/>
    <col min="14851" max="14851" width="43.42578125" style="135" bestFit="1" customWidth="1"/>
    <col min="14852" max="14852" width="8.7109375" style="135" customWidth="1"/>
    <col min="14853" max="14853" width="2.7109375" style="135" customWidth="1"/>
    <col min="14854" max="14854" width="9.140625" style="135" bestFit="1" customWidth="1"/>
    <col min="14855" max="14855" width="7.7109375" style="135" bestFit="1" customWidth="1"/>
    <col min="14856" max="14856" width="7.5703125" style="135" bestFit="1" customWidth="1"/>
    <col min="14857" max="14857" width="2.7109375" style="135" customWidth="1"/>
    <col min="14858" max="14858" width="7.5703125" style="135" bestFit="1" customWidth="1"/>
    <col min="14859" max="14859" width="7.7109375" style="135" bestFit="1" customWidth="1"/>
    <col min="14860" max="14860" width="7.5703125" style="135" bestFit="1" customWidth="1"/>
    <col min="14861" max="15105" width="8.85546875" style="135"/>
    <col min="15106" max="15106" width="20.28515625" style="135" customWidth="1"/>
    <col min="15107" max="15107" width="43.42578125" style="135" bestFit="1" customWidth="1"/>
    <col min="15108" max="15108" width="8.7109375" style="135" customWidth="1"/>
    <col min="15109" max="15109" width="2.7109375" style="135" customWidth="1"/>
    <col min="15110" max="15110" width="9.140625" style="135" bestFit="1" customWidth="1"/>
    <col min="15111" max="15111" width="7.7109375" style="135" bestFit="1" customWidth="1"/>
    <col min="15112" max="15112" width="7.5703125" style="135" bestFit="1" customWidth="1"/>
    <col min="15113" max="15113" width="2.7109375" style="135" customWidth="1"/>
    <col min="15114" max="15114" width="7.5703125" style="135" bestFit="1" customWidth="1"/>
    <col min="15115" max="15115" width="7.7109375" style="135" bestFit="1" customWidth="1"/>
    <col min="15116" max="15116" width="7.5703125" style="135" bestFit="1" customWidth="1"/>
    <col min="15117" max="15361" width="8.85546875" style="135"/>
    <col min="15362" max="15362" width="20.28515625" style="135" customWidth="1"/>
    <col min="15363" max="15363" width="43.42578125" style="135" bestFit="1" customWidth="1"/>
    <col min="15364" max="15364" width="8.7109375" style="135" customWidth="1"/>
    <col min="15365" max="15365" width="2.7109375" style="135" customWidth="1"/>
    <col min="15366" max="15366" width="9.140625" style="135" bestFit="1" customWidth="1"/>
    <col min="15367" max="15367" width="7.7109375" style="135" bestFit="1" customWidth="1"/>
    <col min="15368" max="15368" width="7.5703125" style="135" bestFit="1" customWidth="1"/>
    <col min="15369" max="15369" width="2.7109375" style="135" customWidth="1"/>
    <col min="15370" max="15370" width="7.5703125" style="135" bestFit="1" customWidth="1"/>
    <col min="15371" max="15371" width="7.7109375" style="135" bestFit="1" customWidth="1"/>
    <col min="15372" max="15372" width="7.5703125" style="135" bestFit="1" customWidth="1"/>
    <col min="15373" max="15617" width="8.85546875" style="135"/>
    <col min="15618" max="15618" width="20.28515625" style="135" customWidth="1"/>
    <col min="15619" max="15619" width="43.42578125" style="135" bestFit="1" customWidth="1"/>
    <col min="15620" max="15620" width="8.7109375" style="135" customWidth="1"/>
    <col min="15621" max="15621" width="2.7109375" style="135" customWidth="1"/>
    <col min="15622" max="15622" width="9.140625" style="135" bestFit="1" customWidth="1"/>
    <col min="15623" max="15623" width="7.7109375" style="135" bestFit="1" customWidth="1"/>
    <col min="15624" max="15624" width="7.5703125" style="135" bestFit="1" customWidth="1"/>
    <col min="15625" max="15625" width="2.7109375" style="135" customWidth="1"/>
    <col min="15626" max="15626" width="7.5703125" style="135" bestFit="1" customWidth="1"/>
    <col min="15627" max="15627" width="7.7109375" style="135" bestFit="1" customWidth="1"/>
    <col min="15628" max="15628" width="7.5703125" style="135" bestFit="1" customWidth="1"/>
    <col min="15629" max="15873" width="8.85546875" style="135"/>
    <col min="15874" max="15874" width="20.28515625" style="135" customWidth="1"/>
    <col min="15875" max="15875" width="43.42578125" style="135" bestFit="1" customWidth="1"/>
    <col min="15876" max="15876" width="8.7109375" style="135" customWidth="1"/>
    <col min="15877" max="15877" width="2.7109375" style="135" customWidth="1"/>
    <col min="15878" max="15878" width="9.140625" style="135" bestFit="1" customWidth="1"/>
    <col min="15879" max="15879" width="7.7109375" style="135" bestFit="1" customWidth="1"/>
    <col min="15880" max="15880" width="7.5703125" style="135" bestFit="1" customWidth="1"/>
    <col min="15881" max="15881" width="2.7109375" style="135" customWidth="1"/>
    <col min="15882" max="15882" width="7.5703125" style="135" bestFit="1" customWidth="1"/>
    <col min="15883" max="15883" width="7.7109375" style="135" bestFit="1" customWidth="1"/>
    <col min="15884" max="15884" width="7.5703125" style="135" bestFit="1" customWidth="1"/>
    <col min="15885" max="16129" width="8.85546875" style="135"/>
    <col min="16130" max="16130" width="20.28515625" style="135" customWidth="1"/>
    <col min="16131" max="16131" width="43.42578125" style="135" bestFit="1" customWidth="1"/>
    <col min="16132" max="16132" width="8.7109375" style="135" customWidth="1"/>
    <col min="16133" max="16133" width="2.7109375" style="135" customWidth="1"/>
    <col min="16134" max="16134" width="9.140625" style="135" bestFit="1" customWidth="1"/>
    <col min="16135" max="16135" width="7.7109375" style="135" bestFit="1" customWidth="1"/>
    <col min="16136" max="16136" width="7.5703125" style="135" bestFit="1" customWidth="1"/>
    <col min="16137" max="16137" width="2.7109375" style="135" customWidth="1"/>
    <col min="16138" max="16138" width="7.5703125" style="135" bestFit="1" customWidth="1"/>
    <col min="16139" max="16139" width="7.7109375" style="135" bestFit="1" customWidth="1"/>
    <col min="16140" max="16140" width="7.5703125" style="135" bestFit="1" customWidth="1"/>
    <col min="16141" max="16384" width="8.85546875" style="135"/>
  </cols>
  <sheetData>
    <row r="1" spans="1:256" ht="28.5" x14ac:dyDescent="0.45">
      <c r="A1" s="109" t="s">
        <v>91</v>
      </c>
    </row>
    <row r="2" spans="1:256" ht="15.75" x14ac:dyDescent="0.25">
      <c r="A2" s="229" t="s">
        <v>92</v>
      </c>
      <c r="B2" s="229" t="s">
        <v>93</v>
      </c>
      <c r="C2" s="229" t="s">
        <v>2</v>
      </c>
      <c r="D2" s="229" t="s">
        <v>94</v>
      </c>
      <c r="F2" s="226" t="s">
        <v>95</v>
      </c>
      <c r="G2" s="227"/>
      <c r="H2" s="228"/>
      <c r="J2" s="226" t="s">
        <v>96</v>
      </c>
      <c r="K2" s="227"/>
      <c r="L2" s="228"/>
      <c r="N2" s="226" t="s">
        <v>525</v>
      </c>
      <c r="O2" s="227"/>
      <c r="P2" s="228"/>
      <c r="R2" s="226" t="s">
        <v>530</v>
      </c>
      <c r="S2" s="227"/>
      <c r="T2" s="228"/>
      <c r="V2" s="226" t="s">
        <v>38</v>
      </c>
      <c r="W2" s="227"/>
      <c r="X2" s="228"/>
      <c r="Z2" s="226" t="s">
        <v>609</v>
      </c>
      <c r="AA2" s="227"/>
      <c r="AB2" s="228"/>
      <c r="AD2" s="226" t="s">
        <v>644</v>
      </c>
      <c r="AE2" s="227"/>
      <c r="AF2" s="228"/>
      <c r="AH2" s="226" t="s">
        <v>665</v>
      </c>
      <c r="AI2" s="227"/>
      <c r="AJ2" s="228"/>
      <c r="AL2" s="226" t="s">
        <v>666</v>
      </c>
      <c r="AM2" s="227"/>
      <c r="AN2" s="228"/>
      <c r="AP2" s="226" t="s">
        <v>667</v>
      </c>
      <c r="AQ2" s="227"/>
      <c r="AR2" s="228"/>
      <c r="AT2" s="226" t="s">
        <v>668</v>
      </c>
      <c r="AU2" s="227"/>
      <c r="AV2" s="228"/>
      <c r="AX2" s="226" t="s">
        <v>670</v>
      </c>
      <c r="AY2" s="227"/>
      <c r="AZ2" s="228"/>
    </row>
    <row r="3" spans="1:256" s="136" customFormat="1" ht="15.75" x14ac:dyDescent="0.25">
      <c r="A3" s="229"/>
      <c r="B3" s="229"/>
      <c r="C3" s="229"/>
      <c r="D3" s="229"/>
      <c r="E3" s="134"/>
      <c r="F3" s="119" t="s">
        <v>61</v>
      </c>
      <c r="G3" s="119" t="s">
        <v>62</v>
      </c>
      <c r="H3" s="119" t="s">
        <v>63</v>
      </c>
      <c r="I3" s="134"/>
      <c r="J3" s="119" t="s">
        <v>61</v>
      </c>
      <c r="K3" s="119" t="s">
        <v>62</v>
      </c>
      <c r="L3" s="119" t="s">
        <v>63</v>
      </c>
      <c r="M3" s="134"/>
      <c r="N3" s="119" t="s">
        <v>61</v>
      </c>
      <c r="O3" s="119" t="s">
        <v>62</v>
      </c>
      <c r="P3" s="119" t="s">
        <v>63</v>
      </c>
      <c r="Q3" s="134"/>
      <c r="R3" s="119" t="s">
        <v>61</v>
      </c>
      <c r="S3" s="119" t="s">
        <v>62</v>
      </c>
      <c r="T3" s="119" t="s">
        <v>63</v>
      </c>
      <c r="U3" s="134"/>
      <c r="V3" s="119" t="s">
        <v>61</v>
      </c>
      <c r="W3" s="119" t="s">
        <v>62</v>
      </c>
      <c r="X3" s="119" t="s">
        <v>63</v>
      </c>
      <c r="Z3" s="119" t="s">
        <v>61</v>
      </c>
      <c r="AA3" s="119" t="s">
        <v>62</v>
      </c>
      <c r="AB3" s="119" t="s">
        <v>63</v>
      </c>
      <c r="AD3" s="119" t="s">
        <v>61</v>
      </c>
      <c r="AE3" s="119" t="s">
        <v>62</v>
      </c>
      <c r="AF3" s="119" t="s">
        <v>63</v>
      </c>
      <c r="AH3" s="119" t="s">
        <v>61</v>
      </c>
      <c r="AI3" s="119" t="s">
        <v>62</v>
      </c>
      <c r="AJ3" s="119" t="s">
        <v>63</v>
      </c>
      <c r="AL3" s="119" t="s">
        <v>61</v>
      </c>
      <c r="AM3" s="119" t="s">
        <v>62</v>
      </c>
      <c r="AN3" s="119" t="s">
        <v>63</v>
      </c>
      <c r="AP3" s="119" t="s">
        <v>61</v>
      </c>
      <c r="AQ3" s="119" t="s">
        <v>62</v>
      </c>
      <c r="AR3" s="119" t="s">
        <v>63</v>
      </c>
      <c r="AT3" s="119" t="s">
        <v>61</v>
      </c>
      <c r="AU3" s="119" t="s">
        <v>62</v>
      </c>
      <c r="AV3" s="119" t="s">
        <v>63</v>
      </c>
      <c r="AX3" s="119" t="s">
        <v>61</v>
      </c>
      <c r="AY3" s="119" t="s">
        <v>62</v>
      </c>
      <c r="AZ3" s="119" t="s">
        <v>63</v>
      </c>
    </row>
    <row r="4" spans="1:256" x14ac:dyDescent="0.25">
      <c r="A4" s="112"/>
      <c r="B4" s="112"/>
      <c r="C4" s="112"/>
      <c r="D4" s="112"/>
      <c r="V4" s="112"/>
      <c r="W4" s="112"/>
      <c r="X4" s="112"/>
      <c r="Y4" s="134"/>
      <c r="Z4" s="112"/>
      <c r="AA4" s="112"/>
      <c r="AB4" s="112"/>
      <c r="AC4" s="134"/>
      <c r="AD4" s="112"/>
      <c r="AE4" s="112"/>
      <c r="AF4" s="112"/>
      <c r="AG4" s="134"/>
      <c r="AH4" s="112"/>
      <c r="AI4" s="112"/>
      <c r="AJ4" s="112"/>
      <c r="AK4" s="134"/>
      <c r="AL4" s="112"/>
      <c r="AM4" s="112"/>
      <c r="AN4" s="112"/>
      <c r="AO4" s="134"/>
      <c r="AP4" s="112"/>
      <c r="AQ4" s="112"/>
      <c r="AR4" s="112"/>
      <c r="AS4" s="134"/>
      <c r="AT4" s="112"/>
      <c r="AU4" s="112"/>
      <c r="AV4" s="112"/>
      <c r="AW4" s="134"/>
      <c r="AX4" s="112"/>
      <c r="AY4" s="112"/>
      <c r="AZ4" s="112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  <c r="GE4" s="134"/>
      <c r="GF4" s="134"/>
      <c r="GG4" s="134"/>
      <c r="GH4" s="134"/>
      <c r="GI4" s="134"/>
      <c r="GJ4" s="134"/>
      <c r="GK4" s="134"/>
      <c r="GL4" s="134"/>
      <c r="GM4" s="134"/>
      <c r="GN4" s="134"/>
      <c r="GO4" s="134"/>
      <c r="GP4" s="134"/>
      <c r="GQ4" s="134"/>
      <c r="GR4" s="134"/>
      <c r="GS4" s="134"/>
      <c r="GT4" s="134"/>
      <c r="GU4" s="134"/>
      <c r="GV4" s="134"/>
      <c r="GW4" s="134"/>
      <c r="GX4" s="134"/>
      <c r="GY4" s="134"/>
      <c r="GZ4" s="134"/>
      <c r="HA4" s="134"/>
      <c r="HB4" s="134"/>
      <c r="HC4" s="134"/>
      <c r="HD4" s="134"/>
      <c r="HE4" s="134"/>
      <c r="HF4" s="134"/>
      <c r="HG4" s="134"/>
      <c r="HH4" s="134"/>
      <c r="HI4" s="134"/>
      <c r="HJ4" s="134"/>
      <c r="HK4" s="134"/>
      <c r="HL4" s="134"/>
      <c r="HM4" s="134"/>
      <c r="HN4" s="134"/>
      <c r="HO4" s="134"/>
      <c r="HP4" s="134"/>
      <c r="HQ4" s="134"/>
      <c r="HR4" s="134"/>
      <c r="HS4" s="134"/>
      <c r="HT4" s="134"/>
      <c r="HU4" s="134"/>
      <c r="HV4" s="134"/>
      <c r="HW4" s="134"/>
      <c r="HX4" s="134"/>
      <c r="HY4" s="134"/>
      <c r="HZ4" s="134"/>
      <c r="IA4" s="134"/>
      <c r="IB4" s="134"/>
      <c r="IC4" s="134"/>
      <c r="ID4" s="134"/>
      <c r="IE4" s="134"/>
      <c r="IF4" s="134"/>
      <c r="IG4" s="134"/>
      <c r="IH4" s="134"/>
      <c r="II4" s="134"/>
      <c r="IJ4" s="134"/>
      <c r="IK4" s="134"/>
      <c r="IL4" s="134"/>
      <c r="IM4" s="134"/>
      <c r="IN4" s="134"/>
      <c r="IO4" s="134"/>
      <c r="IP4" s="134"/>
      <c r="IQ4" s="134"/>
      <c r="IR4" s="134"/>
      <c r="IS4" s="134"/>
      <c r="IT4" s="134"/>
      <c r="IU4" s="134"/>
      <c r="IV4" s="134"/>
    </row>
    <row r="5" spans="1:256" x14ac:dyDescent="0.25">
      <c r="A5" s="113">
        <v>1</v>
      </c>
      <c r="B5" s="114" t="s">
        <v>182</v>
      </c>
      <c r="C5" s="114" t="s">
        <v>183</v>
      </c>
      <c r="D5" s="113" t="s">
        <v>69</v>
      </c>
      <c r="F5" s="114">
        <v>5550</v>
      </c>
      <c r="G5" s="114">
        <v>0</v>
      </c>
      <c r="H5" s="114">
        <v>0</v>
      </c>
      <c r="J5" s="114">
        <v>5700</v>
      </c>
      <c r="K5" s="114">
        <v>0</v>
      </c>
      <c r="L5" s="114">
        <v>0</v>
      </c>
      <c r="N5" s="114">
        <v>4500</v>
      </c>
      <c r="O5" s="114">
        <v>0</v>
      </c>
      <c r="P5" s="114">
        <v>0</v>
      </c>
      <c r="R5" s="114">
        <v>3750</v>
      </c>
      <c r="S5" s="114">
        <v>0</v>
      </c>
      <c r="T5" s="114">
        <v>0</v>
      </c>
      <c r="V5" s="114">
        <v>5570</v>
      </c>
      <c r="W5" s="114">
        <v>0</v>
      </c>
      <c r="X5" s="114">
        <v>0</v>
      </c>
      <c r="Z5" s="169">
        <v>5550</v>
      </c>
      <c r="AA5" s="169">
        <v>0</v>
      </c>
      <c r="AB5" s="169">
        <v>0</v>
      </c>
      <c r="AC5" s="135">
        <v>2</v>
      </c>
      <c r="AD5" s="169">
        <v>5257</v>
      </c>
      <c r="AE5" s="169">
        <v>0</v>
      </c>
      <c r="AF5" s="169">
        <v>0</v>
      </c>
      <c r="AH5" s="169"/>
      <c r="AI5" s="169"/>
      <c r="AJ5" s="169"/>
      <c r="AL5" s="169"/>
      <c r="AM5" s="169"/>
      <c r="AN5" s="169"/>
      <c r="AP5" s="169"/>
      <c r="AQ5" s="169"/>
      <c r="AR5" s="169"/>
      <c r="AT5" s="169"/>
      <c r="AU5" s="169"/>
      <c r="AV5" s="169"/>
      <c r="AX5" s="169"/>
      <c r="AY5" s="169"/>
      <c r="AZ5" s="169"/>
    </row>
    <row r="6" spans="1:256" x14ac:dyDescent="0.25">
      <c r="A6" s="113">
        <v>2</v>
      </c>
      <c r="B6" s="114" t="s">
        <v>184</v>
      </c>
      <c r="C6" s="114" t="s">
        <v>185</v>
      </c>
      <c r="D6" s="113" t="s">
        <v>69</v>
      </c>
      <c r="F6" s="114">
        <v>5550</v>
      </c>
      <c r="G6" s="114">
        <v>0</v>
      </c>
      <c r="H6" s="114">
        <v>1</v>
      </c>
      <c r="J6" s="114">
        <v>5700</v>
      </c>
      <c r="K6" s="114">
        <v>0</v>
      </c>
      <c r="L6" s="114">
        <v>0</v>
      </c>
      <c r="N6" s="114">
        <v>4800</v>
      </c>
      <c r="O6" s="114">
        <v>0</v>
      </c>
      <c r="P6" s="114">
        <v>0</v>
      </c>
      <c r="R6" s="114">
        <v>3300</v>
      </c>
      <c r="S6" s="114">
        <v>0</v>
      </c>
      <c r="T6" s="114">
        <v>0</v>
      </c>
      <c r="V6" s="114">
        <v>5570</v>
      </c>
      <c r="W6" s="114">
        <v>0</v>
      </c>
      <c r="X6" s="114">
        <v>0</v>
      </c>
      <c r="Z6" s="169">
        <v>5550</v>
      </c>
      <c r="AA6" s="169">
        <v>0</v>
      </c>
      <c r="AB6" s="169">
        <v>0</v>
      </c>
      <c r="AC6" s="135">
        <v>2</v>
      </c>
      <c r="AD6" s="169">
        <v>5254</v>
      </c>
      <c r="AE6" s="169">
        <v>0</v>
      </c>
      <c r="AF6" s="169">
        <v>0</v>
      </c>
      <c r="AH6" s="169"/>
      <c r="AI6" s="169"/>
      <c r="AJ6" s="169"/>
      <c r="AL6" s="169"/>
      <c r="AM6" s="169"/>
      <c r="AN6" s="169"/>
      <c r="AP6" s="169"/>
      <c r="AQ6" s="169"/>
      <c r="AR6" s="169"/>
      <c r="AT6" s="169"/>
      <c r="AU6" s="169"/>
      <c r="AV6" s="169"/>
      <c r="AX6" s="169"/>
      <c r="AY6" s="169"/>
      <c r="AZ6" s="169"/>
    </row>
    <row r="7" spans="1:256" x14ac:dyDescent="0.25">
      <c r="A7" s="113">
        <v>3</v>
      </c>
      <c r="B7" s="114" t="s">
        <v>186</v>
      </c>
      <c r="C7" s="114" t="s">
        <v>187</v>
      </c>
      <c r="D7" s="113" t="s">
        <v>69</v>
      </c>
      <c r="F7" s="114">
        <v>8700</v>
      </c>
      <c r="G7" s="114">
        <v>0</v>
      </c>
      <c r="H7" s="114">
        <v>0</v>
      </c>
      <c r="J7" s="114">
        <v>8600</v>
      </c>
      <c r="K7" s="114">
        <v>0</v>
      </c>
      <c r="L7" s="114">
        <v>0</v>
      </c>
      <c r="N7" s="114">
        <v>9200</v>
      </c>
      <c r="O7" s="114">
        <v>0</v>
      </c>
      <c r="P7" s="114">
        <v>0</v>
      </c>
      <c r="R7" s="114">
        <v>5300</v>
      </c>
      <c r="S7" s="114">
        <v>0</v>
      </c>
      <c r="T7" s="114">
        <v>0</v>
      </c>
      <c r="V7" s="114">
        <v>8700</v>
      </c>
      <c r="W7" s="114">
        <v>0</v>
      </c>
      <c r="X7" s="114">
        <v>0</v>
      </c>
      <c r="Z7" s="169">
        <v>8500</v>
      </c>
      <c r="AA7" s="169">
        <v>0</v>
      </c>
      <c r="AB7" s="169">
        <v>0</v>
      </c>
      <c r="AC7" s="135">
        <v>2</v>
      </c>
      <c r="AD7" s="169">
        <v>8000</v>
      </c>
      <c r="AE7" s="169">
        <v>0</v>
      </c>
      <c r="AF7" s="169">
        <v>0</v>
      </c>
      <c r="AH7" s="169"/>
      <c r="AI7" s="169"/>
      <c r="AJ7" s="169"/>
      <c r="AL7" s="169"/>
      <c r="AM7" s="169"/>
      <c r="AN7" s="169"/>
      <c r="AP7" s="169"/>
      <c r="AQ7" s="169"/>
      <c r="AR7" s="169"/>
      <c r="AT7" s="169"/>
      <c r="AU7" s="169"/>
      <c r="AV7" s="169"/>
      <c r="AX7" s="169"/>
      <c r="AY7" s="169"/>
      <c r="AZ7" s="169"/>
    </row>
    <row r="8" spans="1:256" x14ac:dyDescent="0.25">
      <c r="A8" s="113">
        <v>4</v>
      </c>
      <c r="B8" s="114" t="s">
        <v>188</v>
      </c>
      <c r="C8" s="114" t="s">
        <v>189</v>
      </c>
      <c r="D8" s="113" t="s">
        <v>69</v>
      </c>
      <c r="F8" s="114">
        <v>8800</v>
      </c>
      <c r="G8" s="114">
        <v>0</v>
      </c>
      <c r="H8" s="114">
        <v>0</v>
      </c>
      <c r="J8" s="114">
        <v>8520</v>
      </c>
      <c r="K8" s="114">
        <v>0</v>
      </c>
      <c r="L8" s="114">
        <v>0</v>
      </c>
      <c r="N8" s="114">
        <v>9300</v>
      </c>
      <c r="O8" s="114">
        <v>0</v>
      </c>
      <c r="P8" s="114">
        <v>0</v>
      </c>
      <c r="R8" s="114">
        <v>5396</v>
      </c>
      <c r="S8" s="114">
        <v>0</v>
      </c>
      <c r="T8" s="114">
        <v>0</v>
      </c>
      <c r="V8" s="114">
        <v>8700</v>
      </c>
      <c r="W8" s="114">
        <v>0</v>
      </c>
      <c r="X8" s="114">
        <v>0</v>
      </c>
      <c r="Z8" s="169">
        <v>8500</v>
      </c>
      <c r="AA8" s="169">
        <v>0</v>
      </c>
      <c r="AB8" s="169">
        <v>0</v>
      </c>
      <c r="AC8" s="135">
        <v>2</v>
      </c>
      <c r="AD8" s="169">
        <v>7600</v>
      </c>
      <c r="AE8" s="169">
        <v>0</v>
      </c>
      <c r="AF8" s="169">
        <v>0</v>
      </c>
      <c r="AH8" s="169"/>
      <c r="AI8" s="169"/>
      <c r="AJ8" s="169"/>
      <c r="AL8" s="169"/>
      <c r="AM8" s="169"/>
      <c r="AN8" s="169"/>
      <c r="AP8" s="169"/>
      <c r="AQ8" s="169"/>
      <c r="AR8" s="169"/>
      <c r="AT8" s="169"/>
      <c r="AU8" s="169"/>
      <c r="AV8" s="169"/>
      <c r="AX8" s="169"/>
      <c r="AY8" s="169"/>
      <c r="AZ8" s="169"/>
    </row>
    <row r="9" spans="1:256" x14ac:dyDescent="0.25">
      <c r="A9" s="113">
        <v>5</v>
      </c>
      <c r="B9" s="114" t="s">
        <v>190</v>
      </c>
      <c r="C9" s="114" t="s">
        <v>191</v>
      </c>
      <c r="D9" s="113" t="s">
        <v>69</v>
      </c>
      <c r="F9" s="114">
        <v>17148</v>
      </c>
      <c r="G9" s="114">
        <v>0</v>
      </c>
      <c r="H9" s="114">
        <v>2</v>
      </c>
      <c r="J9" s="114">
        <v>14700</v>
      </c>
      <c r="K9" s="114">
        <v>0</v>
      </c>
      <c r="L9" s="114">
        <v>0</v>
      </c>
      <c r="N9" s="114">
        <v>13282</v>
      </c>
      <c r="O9" s="114">
        <v>0</v>
      </c>
      <c r="P9" s="114">
        <v>0</v>
      </c>
      <c r="R9" s="114">
        <v>10008</v>
      </c>
      <c r="S9" s="114">
        <v>0</v>
      </c>
      <c r="T9" s="114">
        <v>0</v>
      </c>
      <c r="V9" s="114">
        <v>16800</v>
      </c>
      <c r="W9" s="114">
        <v>0</v>
      </c>
      <c r="X9" s="114">
        <v>0</v>
      </c>
      <c r="Z9" s="169">
        <v>16212</v>
      </c>
      <c r="AA9" s="169">
        <v>0</v>
      </c>
      <c r="AB9" s="169">
        <v>0</v>
      </c>
      <c r="AC9" s="135">
        <v>2</v>
      </c>
      <c r="AD9" s="169">
        <v>15310</v>
      </c>
      <c r="AE9" s="169">
        <v>0</v>
      </c>
      <c r="AF9" s="169">
        <v>0</v>
      </c>
      <c r="AH9" s="169"/>
      <c r="AI9" s="169"/>
      <c r="AJ9" s="169"/>
      <c r="AL9" s="169"/>
      <c r="AM9" s="169"/>
      <c r="AN9" s="169"/>
      <c r="AP9" s="169"/>
      <c r="AQ9" s="169"/>
      <c r="AR9" s="169"/>
      <c r="AT9" s="169"/>
      <c r="AU9" s="169"/>
      <c r="AV9" s="169"/>
      <c r="AX9" s="169"/>
      <c r="AY9" s="169"/>
      <c r="AZ9" s="169"/>
    </row>
    <row r="10" spans="1:256" x14ac:dyDescent="0.25">
      <c r="A10" s="113">
        <v>6</v>
      </c>
      <c r="B10" s="114" t="s">
        <v>192</v>
      </c>
      <c r="C10" s="114" t="s">
        <v>193</v>
      </c>
      <c r="D10" s="113" t="s">
        <v>69</v>
      </c>
      <c r="F10" s="114">
        <v>15800</v>
      </c>
      <c r="G10" s="114">
        <v>0</v>
      </c>
      <c r="H10" s="114">
        <v>0</v>
      </c>
      <c r="J10" s="114">
        <v>15400</v>
      </c>
      <c r="K10" s="114">
        <v>0</v>
      </c>
      <c r="L10" s="114">
        <v>1</v>
      </c>
      <c r="N10" s="114">
        <v>14200</v>
      </c>
      <c r="O10" s="114">
        <v>0</v>
      </c>
      <c r="P10" s="114">
        <v>0</v>
      </c>
      <c r="R10" s="114">
        <v>11100</v>
      </c>
      <c r="S10" s="114">
        <v>0</v>
      </c>
      <c r="T10" s="114">
        <v>0</v>
      </c>
      <c r="V10" s="114">
        <v>16600</v>
      </c>
      <c r="W10" s="114">
        <v>0</v>
      </c>
      <c r="X10" s="114">
        <v>0</v>
      </c>
      <c r="Z10" s="169">
        <v>14332</v>
      </c>
      <c r="AA10" s="169">
        <v>0</v>
      </c>
      <c r="AB10" s="169">
        <v>0</v>
      </c>
      <c r="AC10" s="135">
        <v>2</v>
      </c>
      <c r="AD10" s="169">
        <v>16600</v>
      </c>
      <c r="AE10" s="169">
        <v>0</v>
      </c>
      <c r="AF10" s="169">
        <v>0</v>
      </c>
      <c r="AH10" s="169"/>
      <c r="AI10" s="169"/>
      <c r="AJ10" s="169"/>
      <c r="AL10" s="169"/>
      <c r="AM10" s="169"/>
      <c r="AN10" s="169"/>
      <c r="AP10" s="169"/>
      <c r="AQ10" s="169"/>
      <c r="AR10" s="169"/>
      <c r="AT10" s="169"/>
      <c r="AU10" s="169"/>
      <c r="AV10" s="169"/>
      <c r="AX10" s="169"/>
      <c r="AY10" s="169"/>
      <c r="AZ10" s="169"/>
    </row>
    <row r="11" spans="1:256" x14ac:dyDescent="0.25">
      <c r="A11" s="113">
        <v>7</v>
      </c>
      <c r="B11" s="114" t="s">
        <v>194</v>
      </c>
      <c r="C11" s="114" t="s">
        <v>195</v>
      </c>
      <c r="D11" s="113" t="s">
        <v>69</v>
      </c>
      <c r="F11" s="114">
        <v>12247</v>
      </c>
      <c r="G11" s="114">
        <v>0</v>
      </c>
      <c r="H11" s="114">
        <v>3</v>
      </c>
      <c r="J11" s="114">
        <v>13000</v>
      </c>
      <c r="K11" s="114">
        <v>0</v>
      </c>
      <c r="L11" s="114">
        <v>0</v>
      </c>
      <c r="N11" s="114">
        <v>10300</v>
      </c>
      <c r="O11" s="114">
        <v>0</v>
      </c>
      <c r="P11" s="114">
        <v>0</v>
      </c>
      <c r="R11" s="114">
        <v>8400</v>
      </c>
      <c r="S11" s="114">
        <v>0</v>
      </c>
      <c r="T11" s="114">
        <v>0</v>
      </c>
      <c r="V11" s="114">
        <v>16900</v>
      </c>
      <c r="W11" s="114">
        <v>0</v>
      </c>
      <c r="X11" s="114">
        <v>0</v>
      </c>
      <c r="Z11" s="169">
        <v>10900</v>
      </c>
      <c r="AA11" s="169">
        <v>0</v>
      </c>
      <c r="AB11" s="169">
        <v>0</v>
      </c>
      <c r="AC11" s="135">
        <v>2</v>
      </c>
      <c r="AD11" s="169">
        <v>13000</v>
      </c>
      <c r="AE11" s="169">
        <v>0</v>
      </c>
      <c r="AF11" s="169">
        <v>0</v>
      </c>
      <c r="AH11" s="169"/>
      <c r="AI11" s="169"/>
      <c r="AJ11" s="169"/>
      <c r="AL11" s="169"/>
      <c r="AM11" s="169"/>
      <c r="AN11" s="169"/>
      <c r="AP11" s="169"/>
      <c r="AQ11" s="169"/>
      <c r="AR11" s="169"/>
      <c r="AT11" s="169"/>
      <c r="AU11" s="169"/>
      <c r="AV11" s="169"/>
      <c r="AX11" s="169"/>
      <c r="AY11" s="169"/>
      <c r="AZ11" s="169"/>
    </row>
    <row r="12" spans="1:256" x14ac:dyDescent="0.25">
      <c r="A12" s="113">
        <v>8</v>
      </c>
      <c r="B12" s="114" t="s">
        <v>196</v>
      </c>
      <c r="C12" s="114" t="s">
        <v>197</v>
      </c>
      <c r="D12" s="113" t="s">
        <v>69</v>
      </c>
      <c r="F12" s="114">
        <v>3480</v>
      </c>
      <c r="G12" s="114">
        <v>0</v>
      </c>
      <c r="H12" s="114">
        <v>0</v>
      </c>
      <c r="J12" s="114">
        <v>2520</v>
      </c>
      <c r="K12" s="114">
        <v>0</v>
      </c>
      <c r="L12" s="114">
        <v>0</v>
      </c>
      <c r="N12" s="114">
        <v>3120</v>
      </c>
      <c r="O12" s="114">
        <v>0</v>
      </c>
      <c r="P12" s="114">
        <v>0</v>
      </c>
      <c r="R12" s="114">
        <v>2760</v>
      </c>
      <c r="S12" s="114">
        <v>0</v>
      </c>
      <c r="T12" s="114">
        <v>0</v>
      </c>
      <c r="V12" s="114">
        <v>2520</v>
      </c>
      <c r="W12" s="114">
        <v>0</v>
      </c>
      <c r="X12" s="114">
        <v>0</v>
      </c>
      <c r="Z12" s="169">
        <v>2760</v>
      </c>
      <c r="AA12" s="169">
        <v>0</v>
      </c>
      <c r="AB12" s="169">
        <v>0</v>
      </c>
      <c r="AC12" s="135">
        <v>2</v>
      </c>
      <c r="AD12" s="169">
        <v>3000</v>
      </c>
      <c r="AE12" s="169">
        <v>0</v>
      </c>
      <c r="AF12" s="169">
        <v>0</v>
      </c>
      <c r="AH12" s="169"/>
      <c r="AI12" s="169"/>
      <c r="AJ12" s="169"/>
      <c r="AL12" s="169"/>
      <c r="AM12" s="169"/>
      <c r="AN12" s="169"/>
      <c r="AP12" s="169"/>
      <c r="AQ12" s="169"/>
      <c r="AR12" s="169"/>
      <c r="AT12" s="169"/>
      <c r="AU12" s="169"/>
      <c r="AV12" s="169"/>
      <c r="AX12" s="169"/>
      <c r="AY12" s="169"/>
      <c r="AZ12" s="169"/>
    </row>
    <row r="13" spans="1:256" x14ac:dyDescent="0.25">
      <c r="A13" s="113">
        <v>9</v>
      </c>
      <c r="B13" s="114" t="s">
        <v>198</v>
      </c>
      <c r="C13" s="114" t="s">
        <v>199</v>
      </c>
      <c r="D13" s="113" t="s">
        <v>69</v>
      </c>
      <c r="F13" s="114">
        <v>12500</v>
      </c>
      <c r="G13" s="114">
        <v>0</v>
      </c>
      <c r="H13" s="114">
        <v>6</v>
      </c>
      <c r="J13" s="114">
        <v>12600</v>
      </c>
      <c r="K13" s="114">
        <v>0</v>
      </c>
      <c r="L13" s="114">
        <v>0</v>
      </c>
      <c r="N13" s="114">
        <v>12200</v>
      </c>
      <c r="O13" s="114">
        <v>0</v>
      </c>
      <c r="P13" s="114">
        <v>0</v>
      </c>
      <c r="R13" s="114">
        <v>6600</v>
      </c>
      <c r="S13" s="114">
        <v>0</v>
      </c>
      <c r="T13" s="114">
        <v>0</v>
      </c>
      <c r="V13" s="114">
        <v>15700</v>
      </c>
      <c r="W13" s="114">
        <v>0</v>
      </c>
      <c r="X13" s="114">
        <v>0</v>
      </c>
      <c r="Z13" s="169">
        <v>11134</v>
      </c>
      <c r="AA13" s="169">
        <v>0</v>
      </c>
      <c r="AB13" s="169">
        <v>0</v>
      </c>
      <c r="AC13" s="135">
        <v>2</v>
      </c>
      <c r="AD13" s="169">
        <v>13760</v>
      </c>
      <c r="AE13" s="169">
        <v>0</v>
      </c>
      <c r="AF13" s="169">
        <v>0</v>
      </c>
      <c r="AH13" s="169"/>
      <c r="AI13" s="169"/>
      <c r="AJ13" s="169"/>
      <c r="AL13" s="169"/>
      <c r="AM13" s="169"/>
      <c r="AN13" s="169"/>
      <c r="AP13" s="169"/>
      <c r="AQ13" s="169"/>
      <c r="AR13" s="169"/>
      <c r="AT13" s="169"/>
      <c r="AU13" s="169"/>
      <c r="AV13" s="169"/>
      <c r="AX13" s="169"/>
      <c r="AY13" s="169"/>
      <c r="AZ13" s="169"/>
    </row>
    <row r="14" spans="1:256" x14ac:dyDescent="0.25">
      <c r="A14" s="113">
        <v>10</v>
      </c>
      <c r="B14" s="114" t="s">
        <v>200</v>
      </c>
      <c r="C14" s="114" t="s">
        <v>201</v>
      </c>
      <c r="D14" s="113" t="s">
        <v>69</v>
      </c>
      <c r="F14" s="114">
        <v>11725</v>
      </c>
      <c r="G14" s="114">
        <v>0</v>
      </c>
      <c r="H14" s="114">
        <v>5</v>
      </c>
      <c r="J14" s="114">
        <v>13930</v>
      </c>
      <c r="K14" s="114">
        <v>0</v>
      </c>
      <c r="L14" s="114">
        <v>0</v>
      </c>
      <c r="N14" s="114">
        <v>10380</v>
      </c>
      <c r="O14" s="114">
        <v>0</v>
      </c>
      <c r="P14" s="114">
        <v>0</v>
      </c>
      <c r="R14" s="114">
        <v>7202</v>
      </c>
      <c r="S14" s="114">
        <v>0</v>
      </c>
      <c r="T14" s="114">
        <v>0</v>
      </c>
      <c r="V14" s="114">
        <v>14912</v>
      </c>
      <c r="W14" s="114">
        <v>0</v>
      </c>
      <c r="X14" s="114">
        <v>0</v>
      </c>
      <c r="Z14" s="169">
        <v>12190</v>
      </c>
      <c r="AA14" s="169">
        <v>0</v>
      </c>
      <c r="AB14" s="169">
        <v>0</v>
      </c>
      <c r="AC14" s="135">
        <v>2</v>
      </c>
      <c r="AD14" s="169">
        <v>13443</v>
      </c>
      <c r="AE14" s="169">
        <v>0</v>
      </c>
      <c r="AF14" s="169">
        <v>0</v>
      </c>
      <c r="AH14" s="169"/>
      <c r="AI14" s="169"/>
      <c r="AJ14" s="169"/>
      <c r="AL14" s="169"/>
      <c r="AM14" s="169"/>
      <c r="AN14" s="169"/>
      <c r="AP14" s="169"/>
      <c r="AQ14" s="169"/>
      <c r="AR14" s="169"/>
      <c r="AT14" s="169"/>
      <c r="AU14" s="169"/>
      <c r="AV14" s="169"/>
      <c r="AX14" s="169"/>
      <c r="AY14" s="169"/>
      <c r="AZ14" s="169"/>
    </row>
    <row r="15" spans="1:256" x14ac:dyDescent="0.25">
      <c r="A15" s="113">
        <v>11</v>
      </c>
      <c r="B15" s="114" t="s">
        <v>202</v>
      </c>
      <c r="C15" s="114" t="s">
        <v>203</v>
      </c>
      <c r="D15" s="113" t="s">
        <v>69</v>
      </c>
      <c r="F15" s="114">
        <v>4500</v>
      </c>
      <c r="G15" s="114">
        <v>0</v>
      </c>
      <c r="H15" s="114">
        <v>2</v>
      </c>
      <c r="J15" s="114">
        <v>7620</v>
      </c>
      <c r="K15" s="114">
        <v>0</v>
      </c>
      <c r="L15" s="114">
        <v>0</v>
      </c>
      <c r="N15" s="114">
        <v>5460</v>
      </c>
      <c r="O15" s="114">
        <v>0</v>
      </c>
      <c r="P15" s="114">
        <v>0</v>
      </c>
      <c r="R15" s="114">
        <v>4200</v>
      </c>
      <c r="S15" s="114">
        <v>0</v>
      </c>
      <c r="T15" s="114">
        <v>0</v>
      </c>
      <c r="V15" s="114">
        <v>6420</v>
      </c>
      <c r="W15" s="114">
        <v>0</v>
      </c>
      <c r="X15" s="114">
        <v>0</v>
      </c>
      <c r="Z15" s="169">
        <v>7380</v>
      </c>
      <c r="AA15" s="169">
        <v>0</v>
      </c>
      <c r="AB15" s="169">
        <v>0</v>
      </c>
      <c r="AC15" s="135">
        <v>2</v>
      </c>
      <c r="AD15" s="169">
        <v>5940</v>
      </c>
      <c r="AE15" s="169">
        <v>0</v>
      </c>
      <c r="AF15" s="169">
        <v>0</v>
      </c>
      <c r="AH15" s="169"/>
      <c r="AI15" s="169"/>
      <c r="AJ15" s="169"/>
      <c r="AL15" s="169"/>
      <c r="AM15" s="169"/>
      <c r="AN15" s="169"/>
      <c r="AP15" s="169"/>
      <c r="AQ15" s="169"/>
      <c r="AR15" s="169"/>
      <c r="AT15" s="169"/>
      <c r="AU15" s="169"/>
      <c r="AV15" s="169"/>
      <c r="AX15" s="169"/>
      <c r="AY15" s="169"/>
      <c r="AZ15" s="169"/>
    </row>
    <row r="16" spans="1:256" x14ac:dyDescent="0.25">
      <c r="A16" s="113">
        <v>12</v>
      </c>
      <c r="B16" s="114" t="s">
        <v>204</v>
      </c>
      <c r="C16" s="114" t="s">
        <v>205</v>
      </c>
      <c r="D16" s="113" t="s">
        <v>69</v>
      </c>
      <c r="F16" s="115">
        <v>8160</v>
      </c>
      <c r="G16" s="115">
        <v>0</v>
      </c>
      <c r="H16" s="115">
        <v>3</v>
      </c>
      <c r="J16" s="115">
        <v>9780</v>
      </c>
      <c r="K16" s="115">
        <v>0</v>
      </c>
      <c r="L16" s="115">
        <v>0</v>
      </c>
      <c r="N16" s="115">
        <v>7320</v>
      </c>
      <c r="O16" s="115">
        <v>0</v>
      </c>
      <c r="P16" s="115">
        <v>5</v>
      </c>
      <c r="R16" s="115"/>
      <c r="S16" s="115"/>
      <c r="T16" s="115"/>
      <c r="V16" s="115"/>
      <c r="W16" s="115"/>
      <c r="X16" s="115"/>
      <c r="Z16" s="169"/>
      <c r="AA16" s="169"/>
      <c r="AB16" s="169"/>
      <c r="AC16" s="135">
        <v>2</v>
      </c>
      <c r="AD16" s="169"/>
      <c r="AE16" s="169"/>
      <c r="AF16" s="169"/>
      <c r="AH16" s="169"/>
      <c r="AI16" s="169"/>
      <c r="AJ16" s="169"/>
      <c r="AL16" s="169"/>
      <c r="AM16" s="169"/>
      <c r="AN16" s="169"/>
      <c r="AP16" s="169"/>
      <c r="AQ16" s="169"/>
      <c r="AR16" s="169"/>
      <c r="AT16" s="169"/>
      <c r="AU16" s="169"/>
      <c r="AV16" s="169"/>
      <c r="AX16" s="169"/>
      <c r="AY16" s="169"/>
      <c r="AZ16" s="169"/>
    </row>
    <row r="17" spans="1:52" x14ac:dyDescent="0.25">
      <c r="A17" s="113">
        <v>13</v>
      </c>
      <c r="B17" s="114" t="s">
        <v>206</v>
      </c>
      <c r="C17" s="114" t="s">
        <v>207</v>
      </c>
      <c r="D17" s="113" t="s">
        <v>69</v>
      </c>
      <c r="F17" s="115">
        <v>2490</v>
      </c>
      <c r="G17" s="115">
        <v>0</v>
      </c>
      <c r="H17" s="115">
        <v>0</v>
      </c>
      <c r="J17" s="115">
        <v>2640</v>
      </c>
      <c r="K17" s="115">
        <v>0</v>
      </c>
      <c r="L17" s="115">
        <v>0</v>
      </c>
      <c r="N17" s="115">
        <v>2220</v>
      </c>
      <c r="O17" s="115">
        <v>0</v>
      </c>
      <c r="P17" s="115">
        <v>0</v>
      </c>
      <c r="R17" s="115"/>
      <c r="S17" s="115"/>
      <c r="T17" s="115"/>
      <c r="V17" s="115"/>
      <c r="W17" s="115"/>
      <c r="X17" s="115"/>
      <c r="Z17" s="169"/>
      <c r="AA17" s="169"/>
      <c r="AB17" s="169"/>
      <c r="AC17" s="135">
        <v>2</v>
      </c>
      <c r="AD17" s="169"/>
      <c r="AE17" s="169"/>
      <c r="AF17" s="169"/>
      <c r="AH17" s="169"/>
      <c r="AI17" s="169"/>
      <c r="AJ17" s="169"/>
      <c r="AL17" s="169"/>
      <c r="AM17" s="169"/>
      <c r="AN17" s="169"/>
      <c r="AP17" s="169"/>
      <c r="AQ17" s="169"/>
      <c r="AR17" s="169"/>
      <c r="AT17" s="169"/>
      <c r="AU17" s="169"/>
      <c r="AV17" s="169"/>
      <c r="AX17" s="169"/>
      <c r="AY17" s="169"/>
      <c r="AZ17" s="169"/>
    </row>
    <row r="18" spans="1:52" x14ac:dyDescent="0.25">
      <c r="A18" s="113">
        <v>14</v>
      </c>
      <c r="B18" s="114" t="s">
        <v>208</v>
      </c>
      <c r="C18" s="114" t="s">
        <v>209</v>
      </c>
      <c r="D18" s="113" t="s">
        <v>69</v>
      </c>
      <c r="F18" s="115">
        <v>8160</v>
      </c>
      <c r="G18" s="115">
        <v>0</v>
      </c>
      <c r="H18" s="115">
        <v>0</v>
      </c>
      <c r="J18" s="115">
        <v>9780</v>
      </c>
      <c r="K18" s="115">
        <v>0</v>
      </c>
      <c r="L18" s="115">
        <v>0</v>
      </c>
      <c r="N18" s="115">
        <v>7320</v>
      </c>
      <c r="O18" s="115">
        <v>0</v>
      </c>
      <c r="P18" s="115">
        <v>5</v>
      </c>
      <c r="R18" s="115"/>
      <c r="S18" s="115"/>
      <c r="T18" s="115"/>
      <c r="V18" s="115"/>
      <c r="W18" s="115"/>
      <c r="X18" s="115"/>
      <c r="Z18" s="169"/>
      <c r="AA18" s="169"/>
      <c r="AB18" s="169"/>
      <c r="AC18" s="135">
        <v>2</v>
      </c>
      <c r="AD18" s="169"/>
      <c r="AE18" s="169"/>
      <c r="AF18" s="169"/>
      <c r="AH18" s="169"/>
      <c r="AI18" s="169"/>
      <c r="AJ18" s="169"/>
      <c r="AL18" s="169"/>
      <c r="AM18" s="169"/>
      <c r="AN18" s="169"/>
      <c r="AP18" s="169"/>
      <c r="AQ18" s="169"/>
      <c r="AR18" s="169"/>
      <c r="AT18" s="169"/>
      <c r="AU18" s="169"/>
      <c r="AV18" s="169"/>
      <c r="AX18" s="169"/>
      <c r="AY18" s="169"/>
      <c r="AZ18" s="169"/>
    </row>
    <row r="19" spans="1:52" x14ac:dyDescent="0.25">
      <c r="A19" s="113">
        <v>15</v>
      </c>
      <c r="B19" s="114" t="s">
        <v>210</v>
      </c>
      <c r="C19" s="114" t="s">
        <v>211</v>
      </c>
      <c r="D19" s="113" t="s">
        <v>69</v>
      </c>
      <c r="F19" s="115">
        <v>2490</v>
      </c>
      <c r="G19" s="115">
        <v>0</v>
      </c>
      <c r="H19" s="115">
        <v>0</v>
      </c>
      <c r="J19" s="115">
        <v>2640</v>
      </c>
      <c r="K19" s="115">
        <v>0</v>
      </c>
      <c r="L19" s="115">
        <v>0</v>
      </c>
      <c r="N19" s="115">
        <v>2220</v>
      </c>
      <c r="O19" s="115">
        <v>0</v>
      </c>
      <c r="P19" s="115">
        <v>0</v>
      </c>
      <c r="R19" s="115"/>
      <c r="S19" s="115"/>
      <c r="T19" s="115"/>
      <c r="V19" s="115"/>
      <c r="W19" s="115"/>
      <c r="X19" s="115"/>
      <c r="Z19" s="169"/>
      <c r="AA19" s="169"/>
      <c r="AB19" s="169"/>
      <c r="AC19" s="135">
        <v>2</v>
      </c>
      <c r="AD19" s="169"/>
      <c r="AE19" s="169"/>
      <c r="AF19" s="169"/>
      <c r="AH19" s="169"/>
      <c r="AI19" s="169"/>
      <c r="AJ19" s="169"/>
      <c r="AL19" s="169"/>
      <c r="AM19" s="169"/>
      <c r="AN19" s="169"/>
      <c r="AP19" s="169"/>
      <c r="AQ19" s="169"/>
      <c r="AR19" s="169"/>
      <c r="AT19" s="169"/>
      <c r="AU19" s="169"/>
      <c r="AV19" s="169"/>
      <c r="AX19" s="169"/>
      <c r="AY19" s="169"/>
      <c r="AZ19" s="169"/>
    </row>
    <row r="20" spans="1:52" x14ac:dyDescent="0.25">
      <c r="A20" s="113">
        <v>16</v>
      </c>
      <c r="B20" s="114" t="s">
        <v>212</v>
      </c>
      <c r="C20" s="114" t="s">
        <v>213</v>
      </c>
      <c r="D20" s="113" t="s">
        <v>69</v>
      </c>
      <c r="F20" s="114">
        <v>1800</v>
      </c>
      <c r="G20" s="114">
        <v>0</v>
      </c>
      <c r="H20" s="114">
        <v>0</v>
      </c>
      <c r="J20" s="114">
        <v>1860</v>
      </c>
      <c r="K20" s="114">
        <v>0</v>
      </c>
      <c r="L20" s="114">
        <v>0</v>
      </c>
      <c r="N20" s="114">
        <v>1500</v>
      </c>
      <c r="O20" s="114">
        <v>0</v>
      </c>
      <c r="P20" s="114">
        <v>0</v>
      </c>
      <c r="R20" s="114">
        <v>1200</v>
      </c>
      <c r="S20" s="114">
        <v>0</v>
      </c>
      <c r="T20" s="114">
        <v>0</v>
      </c>
      <c r="V20" s="114">
        <v>1320</v>
      </c>
      <c r="W20" s="114">
        <v>0</v>
      </c>
      <c r="X20" s="114">
        <v>0</v>
      </c>
      <c r="Z20" s="169">
        <v>1680</v>
      </c>
      <c r="AA20" s="169">
        <v>0</v>
      </c>
      <c r="AB20" s="169">
        <v>0</v>
      </c>
      <c r="AC20" s="135">
        <v>2</v>
      </c>
      <c r="AD20" s="169">
        <v>1080</v>
      </c>
      <c r="AE20" s="169">
        <v>0</v>
      </c>
      <c r="AF20" s="169">
        <v>0</v>
      </c>
      <c r="AH20" s="169"/>
      <c r="AI20" s="169"/>
      <c r="AJ20" s="169"/>
      <c r="AL20" s="169"/>
      <c r="AM20" s="169"/>
      <c r="AN20" s="169"/>
      <c r="AP20" s="169"/>
      <c r="AQ20" s="169"/>
      <c r="AR20" s="169"/>
      <c r="AT20" s="169"/>
      <c r="AU20" s="169"/>
      <c r="AV20" s="169"/>
      <c r="AX20" s="169"/>
      <c r="AY20" s="169"/>
      <c r="AZ20" s="169"/>
    </row>
    <row r="21" spans="1:52" x14ac:dyDescent="0.25">
      <c r="A21" s="113">
        <v>17</v>
      </c>
      <c r="B21" s="114" t="s">
        <v>214</v>
      </c>
      <c r="C21" s="114" t="s">
        <v>215</v>
      </c>
      <c r="D21" s="113" t="s">
        <v>69</v>
      </c>
      <c r="F21" s="114">
        <v>1800</v>
      </c>
      <c r="G21" s="114">
        <v>0</v>
      </c>
      <c r="H21" s="114">
        <v>0</v>
      </c>
      <c r="J21" s="114">
        <v>1860</v>
      </c>
      <c r="K21" s="114">
        <v>0</v>
      </c>
      <c r="L21" s="114">
        <v>0</v>
      </c>
      <c r="N21" s="114">
        <v>1500</v>
      </c>
      <c r="O21" s="114">
        <v>0</v>
      </c>
      <c r="P21" s="114">
        <v>0</v>
      </c>
      <c r="R21" s="114">
        <v>1200</v>
      </c>
      <c r="S21" s="114">
        <v>0</v>
      </c>
      <c r="T21" s="114">
        <v>0</v>
      </c>
      <c r="V21" s="114">
        <v>1320</v>
      </c>
      <c r="W21" s="114">
        <v>0</v>
      </c>
      <c r="X21" s="114">
        <v>0</v>
      </c>
      <c r="Z21" s="169">
        <v>1680</v>
      </c>
      <c r="AA21" s="169">
        <v>0</v>
      </c>
      <c r="AB21" s="169">
        <v>0</v>
      </c>
      <c r="AC21" s="135">
        <v>2</v>
      </c>
      <c r="AD21" s="169">
        <v>1080</v>
      </c>
      <c r="AE21" s="169">
        <v>0</v>
      </c>
      <c r="AF21" s="169">
        <v>0</v>
      </c>
      <c r="AH21" s="169"/>
      <c r="AI21" s="169"/>
      <c r="AJ21" s="169"/>
      <c r="AL21" s="169"/>
      <c r="AM21" s="169"/>
      <c r="AN21" s="169"/>
      <c r="AP21" s="169"/>
      <c r="AQ21" s="169"/>
      <c r="AR21" s="169"/>
      <c r="AT21" s="169"/>
      <c r="AU21" s="169"/>
      <c r="AV21" s="169"/>
      <c r="AX21" s="169"/>
      <c r="AY21" s="169"/>
      <c r="AZ21" s="169"/>
    </row>
    <row r="22" spans="1:52" x14ac:dyDescent="0.25">
      <c r="A22" s="113">
        <v>18</v>
      </c>
      <c r="B22" s="114" t="s">
        <v>216</v>
      </c>
      <c r="C22" s="114" t="s">
        <v>217</v>
      </c>
      <c r="D22" s="113" t="s">
        <v>69</v>
      </c>
      <c r="F22" s="114">
        <v>480</v>
      </c>
      <c r="G22" s="114">
        <v>0</v>
      </c>
      <c r="H22" s="114">
        <v>0</v>
      </c>
      <c r="J22" s="114">
        <v>768</v>
      </c>
      <c r="K22" s="114">
        <v>0</v>
      </c>
      <c r="L22" s="114">
        <v>0</v>
      </c>
      <c r="N22" s="114">
        <v>830</v>
      </c>
      <c r="O22" s="114">
        <v>0</v>
      </c>
      <c r="P22" s="114">
        <v>0</v>
      </c>
      <c r="R22" s="114">
        <v>528</v>
      </c>
      <c r="S22" s="114">
        <v>0</v>
      </c>
      <c r="T22" s="114">
        <v>0</v>
      </c>
      <c r="V22" s="114">
        <v>1128</v>
      </c>
      <c r="W22" s="114">
        <v>0</v>
      </c>
      <c r="X22" s="114">
        <v>0</v>
      </c>
      <c r="Z22" s="169">
        <v>780</v>
      </c>
      <c r="AA22" s="169">
        <v>0</v>
      </c>
      <c r="AB22" s="169">
        <v>0</v>
      </c>
      <c r="AC22" s="135">
        <v>2</v>
      </c>
      <c r="AD22" s="169">
        <v>1020</v>
      </c>
      <c r="AE22" s="169">
        <v>0</v>
      </c>
      <c r="AF22" s="169">
        <v>0</v>
      </c>
      <c r="AH22" s="169"/>
      <c r="AI22" s="169"/>
      <c r="AJ22" s="169"/>
      <c r="AL22" s="169"/>
      <c r="AM22" s="169"/>
      <c r="AN22" s="169"/>
      <c r="AP22" s="169"/>
      <c r="AQ22" s="169"/>
      <c r="AR22" s="169"/>
      <c r="AT22" s="169"/>
      <c r="AU22" s="169"/>
      <c r="AV22" s="169"/>
      <c r="AX22" s="169"/>
      <c r="AY22" s="169"/>
      <c r="AZ22" s="169"/>
    </row>
    <row r="23" spans="1:52" x14ac:dyDescent="0.25">
      <c r="A23" s="113">
        <v>19</v>
      </c>
      <c r="B23" s="114" t="s">
        <v>218</v>
      </c>
      <c r="C23" s="114" t="s">
        <v>219</v>
      </c>
      <c r="D23" s="113" t="s">
        <v>69</v>
      </c>
      <c r="F23" s="114">
        <v>394</v>
      </c>
      <c r="G23" s="114">
        <v>36</v>
      </c>
      <c r="H23" s="114">
        <v>1</v>
      </c>
      <c r="J23" s="114">
        <v>222</v>
      </c>
      <c r="K23" s="114">
        <v>78</v>
      </c>
      <c r="L23" s="114">
        <v>0</v>
      </c>
      <c r="N23" s="114">
        <v>39</v>
      </c>
      <c r="O23" s="114">
        <v>81</v>
      </c>
      <c r="P23" s="114">
        <v>0</v>
      </c>
      <c r="R23" s="114">
        <v>153</v>
      </c>
      <c r="S23" s="114">
        <v>91</v>
      </c>
      <c r="T23" s="114">
        <v>0</v>
      </c>
      <c r="V23" s="114">
        <v>489</v>
      </c>
      <c r="W23" s="114">
        <v>231</v>
      </c>
      <c r="X23" s="114">
        <v>0</v>
      </c>
      <c r="Z23" s="169">
        <v>637</v>
      </c>
      <c r="AA23" s="169">
        <v>111</v>
      </c>
      <c r="AB23" s="169">
        <v>0</v>
      </c>
      <c r="AC23" s="135">
        <v>2</v>
      </c>
      <c r="AD23" s="169">
        <v>373</v>
      </c>
      <c r="AE23" s="169">
        <v>43</v>
      </c>
      <c r="AF23" s="169">
        <v>0</v>
      </c>
      <c r="AH23" s="169"/>
      <c r="AI23" s="169"/>
      <c r="AJ23" s="169"/>
      <c r="AL23" s="169"/>
      <c r="AM23" s="169"/>
      <c r="AN23" s="169"/>
      <c r="AP23" s="169"/>
      <c r="AQ23" s="169"/>
      <c r="AR23" s="169"/>
      <c r="AT23" s="169"/>
      <c r="AU23" s="169"/>
      <c r="AV23" s="169"/>
      <c r="AX23" s="169"/>
      <c r="AY23" s="169"/>
      <c r="AZ23" s="169"/>
    </row>
    <row r="24" spans="1:52" x14ac:dyDescent="0.25">
      <c r="A24" s="113">
        <v>20</v>
      </c>
      <c r="B24" s="114" t="s">
        <v>220</v>
      </c>
      <c r="C24" s="114" t="s">
        <v>221</v>
      </c>
      <c r="D24" s="113" t="s">
        <v>69</v>
      </c>
      <c r="F24" s="114">
        <v>226</v>
      </c>
      <c r="G24" s="114">
        <v>14</v>
      </c>
      <c r="H24" s="114">
        <v>0</v>
      </c>
      <c r="J24" s="114">
        <v>59</v>
      </c>
      <c r="K24" s="114">
        <v>1</v>
      </c>
      <c r="L24" s="114">
        <v>0</v>
      </c>
      <c r="N24" s="114">
        <v>212</v>
      </c>
      <c r="O24" s="114">
        <v>108</v>
      </c>
      <c r="P24" s="114">
        <v>0</v>
      </c>
      <c r="R24" s="114">
        <v>170</v>
      </c>
      <c r="S24" s="114">
        <v>23</v>
      </c>
      <c r="T24" s="114">
        <v>0</v>
      </c>
      <c r="V24" s="114">
        <v>154</v>
      </c>
      <c r="W24" s="114">
        <v>146</v>
      </c>
      <c r="X24" s="114">
        <v>0</v>
      </c>
      <c r="Z24" s="169">
        <v>94</v>
      </c>
      <c r="AA24" s="169">
        <v>26</v>
      </c>
      <c r="AB24" s="169">
        <v>0</v>
      </c>
      <c r="AC24" s="135">
        <v>2</v>
      </c>
      <c r="AD24" s="169">
        <v>378</v>
      </c>
      <c r="AE24" s="169">
        <v>42</v>
      </c>
      <c r="AF24" s="169">
        <v>0</v>
      </c>
      <c r="AH24" s="169"/>
      <c r="AI24" s="169"/>
      <c r="AJ24" s="169"/>
      <c r="AL24" s="169"/>
      <c r="AM24" s="169"/>
      <c r="AN24" s="169"/>
      <c r="AP24" s="169"/>
      <c r="AQ24" s="169"/>
      <c r="AR24" s="169"/>
      <c r="AT24" s="169"/>
      <c r="AU24" s="169"/>
      <c r="AV24" s="169"/>
      <c r="AX24" s="169"/>
      <c r="AY24" s="169"/>
      <c r="AZ24" s="169"/>
    </row>
    <row r="25" spans="1:52" x14ac:dyDescent="0.25">
      <c r="A25" s="113">
        <v>21</v>
      </c>
      <c r="B25" s="114" t="s">
        <v>222</v>
      </c>
      <c r="C25" s="114" t="s">
        <v>223</v>
      </c>
      <c r="D25" s="113" t="s">
        <v>69</v>
      </c>
      <c r="F25" s="114">
        <v>1376</v>
      </c>
      <c r="G25" s="114">
        <v>23</v>
      </c>
      <c r="H25" s="114">
        <v>0</v>
      </c>
      <c r="J25" s="114">
        <v>960</v>
      </c>
      <c r="K25" s="114">
        <v>0</v>
      </c>
      <c r="L25" s="114">
        <v>0</v>
      </c>
      <c r="N25" s="114">
        <v>879</v>
      </c>
      <c r="O25" s="114">
        <v>21</v>
      </c>
      <c r="P25" s="114">
        <v>0</v>
      </c>
      <c r="R25" s="114">
        <v>959</v>
      </c>
      <c r="S25" s="114">
        <v>17</v>
      </c>
      <c r="T25" s="114">
        <v>0</v>
      </c>
      <c r="V25" s="114">
        <v>1898</v>
      </c>
      <c r="W25" s="114">
        <v>22</v>
      </c>
      <c r="X25" s="114">
        <v>0</v>
      </c>
      <c r="Z25" s="169">
        <v>2477</v>
      </c>
      <c r="AA25" s="169">
        <v>13</v>
      </c>
      <c r="AB25" s="169">
        <v>0</v>
      </c>
      <c r="AC25" s="135">
        <v>2</v>
      </c>
      <c r="AD25" s="169">
        <v>2872</v>
      </c>
      <c r="AE25" s="169">
        <v>8</v>
      </c>
      <c r="AF25" s="169">
        <v>0</v>
      </c>
      <c r="AH25" s="169"/>
      <c r="AI25" s="169"/>
      <c r="AJ25" s="169"/>
      <c r="AL25" s="169"/>
      <c r="AM25" s="169"/>
      <c r="AN25" s="169"/>
      <c r="AP25" s="169"/>
      <c r="AQ25" s="169"/>
      <c r="AR25" s="169"/>
      <c r="AT25" s="169"/>
      <c r="AU25" s="169"/>
      <c r="AV25" s="169"/>
      <c r="AX25" s="169"/>
      <c r="AY25" s="169"/>
      <c r="AZ25" s="169"/>
    </row>
    <row r="26" spans="1:52" x14ac:dyDescent="0.25">
      <c r="A26" s="113">
        <v>22</v>
      </c>
      <c r="B26" s="114" t="s">
        <v>224</v>
      </c>
      <c r="C26" s="114" t="s">
        <v>225</v>
      </c>
      <c r="D26" s="113" t="s">
        <v>69</v>
      </c>
      <c r="F26" s="114">
        <v>1378</v>
      </c>
      <c r="G26" s="114">
        <v>9</v>
      </c>
      <c r="H26" s="114">
        <v>0</v>
      </c>
      <c r="J26" s="114">
        <v>960</v>
      </c>
      <c r="K26" s="114">
        <v>0</v>
      </c>
      <c r="L26" s="114">
        <v>0</v>
      </c>
      <c r="N26" s="114">
        <v>876</v>
      </c>
      <c r="O26" s="114">
        <v>24</v>
      </c>
      <c r="P26" s="114">
        <v>0</v>
      </c>
      <c r="R26" s="114">
        <v>949</v>
      </c>
      <c r="S26" s="114">
        <v>35</v>
      </c>
      <c r="T26" s="114">
        <v>0</v>
      </c>
      <c r="V26" s="114">
        <v>1884</v>
      </c>
      <c r="W26" s="114">
        <v>36</v>
      </c>
      <c r="X26" s="114">
        <v>0</v>
      </c>
      <c r="Z26" s="169">
        <v>2486</v>
      </c>
      <c r="AA26" s="169">
        <v>0</v>
      </c>
      <c r="AB26" s="169">
        <v>0</v>
      </c>
      <c r="AC26" s="135">
        <v>2</v>
      </c>
      <c r="AD26" s="169">
        <v>2805</v>
      </c>
      <c r="AE26" s="169">
        <v>75</v>
      </c>
      <c r="AF26" s="169">
        <v>0</v>
      </c>
      <c r="AH26" s="169"/>
      <c r="AI26" s="169"/>
      <c r="AJ26" s="169"/>
      <c r="AL26" s="169"/>
      <c r="AM26" s="169"/>
      <c r="AN26" s="169"/>
      <c r="AP26" s="169"/>
      <c r="AQ26" s="169"/>
      <c r="AR26" s="169"/>
      <c r="AT26" s="169"/>
      <c r="AU26" s="169"/>
      <c r="AV26" s="169"/>
      <c r="AX26" s="169"/>
      <c r="AY26" s="169"/>
      <c r="AZ26" s="169"/>
    </row>
    <row r="27" spans="1:52" x14ac:dyDescent="0.25">
      <c r="A27" s="113">
        <v>23</v>
      </c>
      <c r="B27" s="114" t="s">
        <v>226</v>
      </c>
      <c r="C27" s="114" t="s">
        <v>227</v>
      </c>
      <c r="D27" s="113" t="s">
        <v>69</v>
      </c>
      <c r="F27" s="114">
        <v>120</v>
      </c>
      <c r="G27" s="114">
        <v>0</v>
      </c>
      <c r="H27" s="114">
        <v>0</v>
      </c>
      <c r="J27" s="114">
        <v>299</v>
      </c>
      <c r="K27" s="114">
        <v>1</v>
      </c>
      <c r="L27" s="114">
        <v>0</v>
      </c>
      <c r="N27" s="114">
        <v>240</v>
      </c>
      <c r="O27" s="114">
        <v>0</v>
      </c>
      <c r="P27" s="114">
        <v>0</v>
      </c>
      <c r="R27" s="114">
        <v>60</v>
      </c>
      <c r="S27" s="114">
        <v>0</v>
      </c>
      <c r="T27" s="114">
        <v>0</v>
      </c>
      <c r="V27" s="114">
        <v>246</v>
      </c>
      <c r="W27" s="114">
        <v>54</v>
      </c>
      <c r="X27" s="114">
        <v>0</v>
      </c>
      <c r="Z27" s="169">
        <v>240</v>
      </c>
      <c r="AA27" s="169">
        <v>0</v>
      </c>
      <c r="AB27" s="169">
        <v>0</v>
      </c>
      <c r="AC27" s="135">
        <v>2</v>
      </c>
      <c r="AD27" s="169">
        <v>300</v>
      </c>
      <c r="AE27" s="169">
        <v>0</v>
      </c>
      <c r="AF27" s="169">
        <v>0</v>
      </c>
      <c r="AH27" s="169"/>
      <c r="AI27" s="169"/>
      <c r="AJ27" s="169"/>
      <c r="AL27" s="169"/>
      <c r="AM27" s="169"/>
      <c r="AN27" s="169"/>
      <c r="AP27" s="169"/>
      <c r="AQ27" s="169"/>
      <c r="AR27" s="169"/>
      <c r="AT27" s="169"/>
      <c r="AU27" s="169"/>
      <c r="AV27" s="169"/>
      <c r="AX27" s="169"/>
      <c r="AY27" s="169"/>
      <c r="AZ27" s="169"/>
    </row>
    <row r="28" spans="1:52" x14ac:dyDescent="0.25">
      <c r="A28" s="113">
        <v>24</v>
      </c>
      <c r="B28" s="114" t="s">
        <v>228</v>
      </c>
      <c r="C28" s="114" t="s">
        <v>229</v>
      </c>
      <c r="D28" s="113" t="s">
        <v>69</v>
      </c>
      <c r="F28" s="114">
        <v>120</v>
      </c>
      <c r="G28" s="114">
        <v>0</v>
      </c>
      <c r="H28" s="114">
        <v>0</v>
      </c>
      <c r="J28" s="114">
        <v>298</v>
      </c>
      <c r="K28" s="114">
        <v>2</v>
      </c>
      <c r="L28" s="114">
        <v>0</v>
      </c>
      <c r="N28" s="114">
        <v>240</v>
      </c>
      <c r="O28" s="114">
        <v>0</v>
      </c>
      <c r="P28" s="114">
        <v>0</v>
      </c>
      <c r="R28" s="114">
        <v>60</v>
      </c>
      <c r="S28" s="114">
        <v>0</v>
      </c>
      <c r="T28" s="114">
        <v>0</v>
      </c>
      <c r="V28" s="114">
        <v>300</v>
      </c>
      <c r="W28" s="114">
        <v>0</v>
      </c>
      <c r="X28" s="114">
        <v>0</v>
      </c>
      <c r="Z28" s="169">
        <v>240</v>
      </c>
      <c r="AA28" s="169">
        <v>0</v>
      </c>
      <c r="AB28" s="169">
        <v>0</v>
      </c>
      <c r="AC28" s="135">
        <v>2</v>
      </c>
      <c r="AD28" s="169">
        <v>290</v>
      </c>
      <c r="AE28" s="169">
        <v>10</v>
      </c>
      <c r="AF28" s="169">
        <v>0</v>
      </c>
      <c r="AH28" s="169"/>
      <c r="AI28" s="169"/>
      <c r="AJ28" s="169"/>
      <c r="AL28" s="169"/>
      <c r="AM28" s="169"/>
      <c r="AN28" s="169"/>
      <c r="AP28" s="169"/>
      <c r="AQ28" s="169"/>
      <c r="AR28" s="169"/>
      <c r="AT28" s="169"/>
      <c r="AU28" s="169"/>
      <c r="AV28" s="169"/>
      <c r="AX28" s="169"/>
      <c r="AY28" s="169"/>
      <c r="AZ28" s="169"/>
    </row>
    <row r="29" spans="1:52" x14ac:dyDescent="0.25">
      <c r="A29" s="113">
        <v>25</v>
      </c>
      <c r="B29" s="114" t="s">
        <v>230</v>
      </c>
      <c r="C29" s="114" t="s">
        <v>231</v>
      </c>
      <c r="D29" s="113" t="s">
        <v>69</v>
      </c>
      <c r="F29" s="114">
        <v>3106</v>
      </c>
      <c r="G29" s="114">
        <v>134</v>
      </c>
      <c r="H29" s="114">
        <v>0</v>
      </c>
      <c r="J29" s="114">
        <v>3763</v>
      </c>
      <c r="K29" s="114">
        <v>47</v>
      </c>
      <c r="L29" s="114">
        <v>0</v>
      </c>
      <c r="N29" s="114">
        <v>4247</v>
      </c>
      <c r="O29" s="114">
        <v>203</v>
      </c>
      <c r="P29" s="114">
        <v>0</v>
      </c>
      <c r="R29" s="114">
        <v>1831</v>
      </c>
      <c r="S29" s="114">
        <v>104</v>
      </c>
      <c r="T29" s="114">
        <v>0</v>
      </c>
      <c r="V29" s="114">
        <v>4184</v>
      </c>
      <c r="W29" s="114">
        <v>116</v>
      </c>
      <c r="X29" s="114">
        <v>0</v>
      </c>
      <c r="Z29" s="169">
        <v>4144</v>
      </c>
      <c r="AA29" s="169">
        <v>252</v>
      </c>
      <c r="AB29" s="169">
        <v>0</v>
      </c>
      <c r="AC29" s="135">
        <v>2</v>
      </c>
      <c r="AD29" s="169">
        <v>4389</v>
      </c>
      <c r="AE29" s="169">
        <v>120</v>
      </c>
      <c r="AF29" s="169">
        <v>0</v>
      </c>
      <c r="AH29" s="169"/>
      <c r="AI29" s="169"/>
      <c r="AJ29" s="169"/>
      <c r="AL29" s="169"/>
      <c r="AM29" s="169"/>
      <c r="AN29" s="169"/>
      <c r="AP29" s="169"/>
      <c r="AQ29" s="169"/>
      <c r="AR29" s="169"/>
      <c r="AT29" s="169"/>
      <c r="AU29" s="169"/>
      <c r="AV29" s="169"/>
      <c r="AX29" s="169"/>
      <c r="AY29" s="169"/>
      <c r="AZ29" s="169"/>
    </row>
    <row r="30" spans="1:52" x14ac:dyDescent="0.25">
      <c r="A30" s="113">
        <v>26</v>
      </c>
      <c r="B30" s="114" t="s">
        <v>232</v>
      </c>
      <c r="C30" s="114" t="s">
        <v>233</v>
      </c>
      <c r="D30" s="113" t="s">
        <v>69</v>
      </c>
      <c r="F30" s="114">
        <v>2764</v>
      </c>
      <c r="G30" s="114">
        <v>116</v>
      </c>
      <c r="H30" s="114">
        <v>0</v>
      </c>
      <c r="J30" s="114">
        <v>3775</v>
      </c>
      <c r="K30" s="114">
        <v>95</v>
      </c>
      <c r="L30" s="114">
        <v>0</v>
      </c>
      <c r="N30" s="114">
        <v>3875</v>
      </c>
      <c r="O30" s="114">
        <v>365</v>
      </c>
      <c r="P30" s="114">
        <v>0</v>
      </c>
      <c r="R30" s="114">
        <v>1632</v>
      </c>
      <c r="S30" s="114">
        <v>55</v>
      </c>
      <c r="T30" s="114">
        <v>0</v>
      </c>
      <c r="V30" s="114">
        <v>3776</v>
      </c>
      <c r="W30" s="114">
        <v>164</v>
      </c>
      <c r="X30" s="114">
        <v>0</v>
      </c>
      <c r="Z30" s="169">
        <v>3738</v>
      </c>
      <c r="AA30" s="169">
        <v>169</v>
      </c>
      <c r="AB30" s="169">
        <v>0</v>
      </c>
      <c r="AC30" s="135">
        <v>2</v>
      </c>
      <c r="AD30" s="169">
        <v>3839</v>
      </c>
      <c r="AE30" s="169">
        <v>157</v>
      </c>
      <c r="AF30" s="169">
        <v>0</v>
      </c>
      <c r="AH30" s="169"/>
      <c r="AI30" s="169"/>
      <c r="AJ30" s="169"/>
      <c r="AL30" s="169"/>
      <c r="AM30" s="169"/>
      <c r="AN30" s="169"/>
      <c r="AP30" s="169"/>
      <c r="AQ30" s="169"/>
      <c r="AR30" s="169"/>
      <c r="AT30" s="169"/>
      <c r="AU30" s="169"/>
      <c r="AV30" s="169"/>
      <c r="AX30" s="169"/>
      <c r="AY30" s="169"/>
      <c r="AZ30" s="169"/>
    </row>
    <row r="31" spans="1:52" x14ac:dyDescent="0.25">
      <c r="A31" s="113">
        <v>27</v>
      </c>
      <c r="B31" s="114" t="s">
        <v>234</v>
      </c>
      <c r="C31" s="114" t="s">
        <v>235</v>
      </c>
      <c r="D31" s="113" t="s">
        <v>69</v>
      </c>
      <c r="F31" s="114">
        <v>3540</v>
      </c>
      <c r="G31" s="114">
        <v>0</v>
      </c>
      <c r="H31" s="114">
        <v>0</v>
      </c>
      <c r="J31" s="114">
        <v>3640</v>
      </c>
      <c r="K31" s="114">
        <v>20</v>
      </c>
      <c r="L31" s="114">
        <v>0</v>
      </c>
      <c r="N31" s="114">
        <v>4914</v>
      </c>
      <c r="O31" s="114">
        <v>6</v>
      </c>
      <c r="P31" s="114">
        <v>0</v>
      </c>
      <c r="R31" s="114">
        <v>1680</v>
      </c>
      <c r="S31" s="114">
        <v>4</v>
      </c>
      <c r="T31" s="114">
        <v>0</v>
      </c>
      <c r="V31" s="114">
        <v>4427</v>
      </c>
      <c r="W31" s="114">
        <v>13</v>
      </c>
      <c r="X31" s="114">
        <v>0</v>
      </c>
      <c r="Z31" s="169">
        <v>4148</v>
      </c>
      <c r="AA31" s="169">
        <v>52</v>
      </c>
      <c r="AB31" s="169">
        <v>0</v>
      </c>
      <c r="AC31" s="135">
        <v>2</v>
      </c>
      <c r="AD31" s="169">
        <v>4620</v>
      </c>
      <c r="AE31" s="169">
        <v>0</v>
      </c>
      <c r="AF31" s="169">
        <v>0</v>
      </c>
      <c r="AH31" s="169"/>
      <c r="AI31" s="169"/>
      <c r="AJ31" s="169"/>
      <c r="AL31" s="169"/>
      <c r="AM31" s="169"/>
      <c r="AN31" s="169"/>
      <c r="AP31" s="169"/>
      <c r="AQ31" s="169"/>
      <c r="AR31" s="169"/>
      <c r="AT31" s="169"/>
      <c r="AU31" s="169"/>
      <c r="AV31" s="169"/>
      <c r="AX31" s="169"/>
      <c r="AY31" s="169"/>
      <c r="AZ31" s="169"/>
    </row>
    <row r="32" spans="1:52" x14ac:dyDescent="0.25">
      <c r="A32" s="113">
        <v>28</v>
      </c>
      <c r="B32" s="114" t="s">
        <v>236</v>
      </c>
      <c r="C32" s="114" t="s">
        <v>237</v>
      </c>
      <c r="D32" s="113" t="s">
        <v>69</v>
      </c>
      <c r="F32" s="114">
        <v>3528</v>
      </c>
      <c r="G32" s="114">
        <v>12</v>
      </c>
      <c r="H32" s="114">
        <v>0</v>
      </c>
      <c r="J32" s="114">
        <v>3660</v>
      </c>
      <c r="K32" s="114">
        <v>0</v>
      </c>
      <c r="L32" s="114">
        <v>0</v>
      </c>
      <c r="N32" s="114">
        <v>4888</v>
      </c>
      <c r="O32" s="114">
        <v>32</v>
      </c>
      <c r="P32" s="114">
        <v>0</v>
      </c>
      <c r="R32" s="114">
        <v>1680</v>
      </c>
      <c r="S32" s="114">
        <v>4</v>
      </c>
      <c r="T32" s="114">
        <v>0</v>
      </c>
      <c r="V32" s="114">
        <v>4440</v>
      </c>
      <c r="W32" s="114">
        <v>0</v>
      </c>
      <c r="X32" s="114">
        <v>0</v>
      </c>
      <c r="Z32" s="169">
        <v>4200</v>
      </c>
      <c r="AA32" s="169">
        <v>0</v>
      </c>
      <c r="AB32" s="169">
        <v>0</v>
      </c>
      <c r="AC32" s="135">
        <v>2</v>
      </c>
      <c r="AD32" s="169">
        <v>4620</v>
      </c>
      <c r="AE32" s="169">
        <v>0</v>
      </c>
      <c r="AF32" s="169">
        <v>0</v>
      </c>
      <c r="AH32" s="169"/>
      <c r="AI32" s="169"/>
      <c r="AJ32" s="169"/>
      <c r="AL32" s="169"/>
      <c r="AM32" s="169"/>
      <c r="AN32" s="169"/>
      <c r="AP32" s="169"/>
      <c r="AQ32" s="169"/>
      <c r="AR32" s="169"/>
      <c r="AT32" s="169"/>
      <c r="AU32" s="169"/>
      <c r="AV32" s="169"/>
      <c r="AX32" s="169"/>
      <c r="AY32" s="169"/>
      <c r="AZ32" s="169"/>
    </row>
    <row r="33" spans="1:52" x14ac:dyDescent="0.25">
      <c r="A33" s="113">
        <v>29</v>
      </c>
      <c r="B33" s="114" t="s">
        <v>238</v>
      </c>
      <c r="C33" s="114" t="s">
        <v>239</v>
      </c>
      <c r="D33" s="113" t="s">
        <v>69</v>
      </c>
      <c r="F33" s="114">
        <v>2350</v>
      </c>
      <c r="G33" s="114">
        <v>0</v>
      </c>
      <c r="H33" s="114">
        <v>0</v>
      </c>
      <c r="J33" s="114">
        <v>3110</v>
      </c>
      <c r="K33" s="114">
        <v>0</v>
      </c>
      <c r="L33" s="114">
        <v>0</v>
      </c>
      <c r="N33" s="114">
        <v>3960</v>
      </c>
      <c r="O33" s="114">
        <v>0</v>
      </c>
      <c r="P33" s="114">
        <v>0</v>
      </c>
      <c r="R33" s="114">
        <v>1170</v>
      </c>
      <c r="S33" s="114">
        <v>0</v>
      </c>
      <c r="T33" s="114">
        <v>0</v>
      </c>
      <c r="V33" s="114">
        <v>3120</v>
      </c>
      <c r="W33" s="114">
        <v>0</v>
      </c>
      <c r="X33" s="114">
        <v>0</v>
      </c>
      <c r="Z33" s="169">
        <v>4050</v>
      </c>
      <c r="AA33" s="169">
        <v>0</v>
      </c>
      <c r="AB33" s="169">
        <v>0</v>
      </c>
      <c r="AC33" s="135">
        <v>2</v>
      </c>
      <c r="AD33" s="169">
        <v>3350</v>
      </c>
      <c r="AE33" s="169">
        <v>0</v>
      </c>
      <c r="AF33" s="169">
        <v>0</v>
      </c>
      <c r="AH33" s="169"/>
      <c r="AI33" s="169"/>
      <c r="AJ33" s="169"/>
      <c r="AL33" s="169"/>
      <c r="AM33" s="169"/>
      <c r="AN33" s="169"/>
      <c r="AP33" s="169"/>
      <c r="AQ33" s="169"/>
      <c r="AR33" s="169"/>
      <c r="AT33" s="169"/>
      <c r="AU33" s="169"/>
      <c r="AV33" s="169"/>
      <c r="AX33" s="169"/>
      <c r="AY33" s="169"/>
      <c r="AZ33" s="169"/>
    </row>
    <row r="34" spans="1:52" x14ac:dyDescent="0.25">
      <c r="A34" s="113">
        <v>30</v>
      </c>
      <c r="B34" s="114" t="s">
        <v>240</v>
      </c>
      <c r="C34" s="114" t="s">
        <v>241</v>
      </c>
      <c r="D34" s="113" t="s">
        <v>69</v>
      </c>
      <c r="F34" s="114">
        <v>750</v>
      </c>
      <c r="G34" s="114">
        <v>0</v>
      </c>
      <c r="H34" s="114">
        <v>0</v>
      </c>
      <c r="J34" s="114">
        <v>350</v>
      </c>
      <c r="K34" s="114">
        <v>0</v>
      </c>
      <c r="L34" s="114">
        <v>0</v>
      </c>
      <c r="N34" s="114">
        <v>474</v>
      </c>
      <c r="O34" s="114">
        <v>0</v>
      </c>
      <c r="P34" s="114">
        <v>0</v>
      </c>
      <c r="R34" s="114">
        <v>320</v>
      </c>
      <c r="S34" s="114">
        <v>0</v>
      </c>
      <c r="T34" s="114">
        <v>0</v>
      </c>
      <c r="V34" s="114">
        <v>650</v>
      </c>
      <c r="W34" s="114">
        <v>0</v>
      </c>
      <c r="X34" s="114">
        <v>0</v>
      </c>
      <c r="Z34" s="169">
        <v>850</v>
      </c>
      <c r="AA34" s="169">
        <v>0</v>
      </c>
      <c r="AB34" s="169">
        <v>0</v>
      </c>
      <c r="AC34" s="135">
        <v>2</v>
      </c>
      <c r="AD34" s="169">
        <v>800</v>
      </c>
      <c r="AE34" s="169">
        <v>0</v>
      </c>
      <c r="AF34" s="169">
        <v>0</v>
      </c>
      <c r="AH34" s="169"/>
      <c r="AI34" s="169"/>
      <c r="AJ34" s="169"/>
      <c r="AL34" s="169"/>
      <c r="AM34" s="169"/>
      <c r="AN34" s="169"/>
      <c r="AP34" s="169"/>
      <c r="AQ34" s="169"/>
      <c r="AR34" s="169"/>
      <c r="AT34" s="169"/>
      <c r="AU34" s="169"/>
      <c r="AV34" s="169"/>
      <c r="AX34" s="169"/>
      <c r="AY34" s="169"/>
      <c r="AZ34" s="169"/>
    </row>
    <row r="35" spans="1:52" x14ac:dyDescent="0.25">
      <c r="A35" s="113">
        <v>31</v>
      </c>
      <c r="B35" s="114" t="s">
        <v>242</v>
      </c>
      <c r="C35" s="114" t="s">
        <v>243</v>
      </c>
      <c r="D35" s="113" t="s">
        <v>69</v>
      </c>
      <c r="F35" s="114">
        <v>96</v>
      </c>
      <c r="G35" s="114">
        <v>4</v>
      </c>
      <c r="H35" s="114">
        <v>0</v>
      </c>
      <c r="J35" s="114"/>
      <c r="K35" s="114"/>
      <c r="L35" s="114"/>
      <c r="N35" s="114"/>
      <c r="O35" s="114"/>
      <c r="P35" s="114"/>
      <c r="R35" s="114">
        <v>38</v>
      </c>
      <c r="S35" s="114">
        <v>62</v>
      </c>
      <c r="T35" s="114">
        <v>0</v>
      </c>
      <c r="V35" s="114">
        <v>100</v>
      </c>
      <c r="W35" s="114">
        <v>0</v>
      </c>
      <c r="X35" s="114">
        <v>0</v>
      </c>
      <c r="Z35" s="169">
        <v>88</v>
      </c>
      <c r="AA35" s="169">
        <v>12</v>
      </c>
      <c r="AB35" s="169">
        <v>0</v>
      </c>
      <c r="AC35" s="135">
        <v>2</v>
      </c>
      <c r="AD35" s="169">
        <v>171</v>
      </c>
      <c r="AE35" s="169">
        <v>29</v>
      </c>
      <c r="AF35" s="169">
        <v>0</v>
      </c>
      <c r="AH35" s="169"/>
      <c r="AI35" s="169"/>
      <c r="AJ35" s="169"/>
      <c r="AL35" s="169"/>
      <c r="AM35" s="169"/>
      <c r="AN35" s="169"/>
      <c r="AP35" s="169"/>
      <c r="AQ35" s="169"/>
      <c r="AR35" s="169"/>
      <c r="AT35" s="169"/>
      <c r="AU35" s="169"/>
      <c r="AV35" s="169"/>
      <c r="AX35" s="169"/>
      <c r="AY35" s="169"/>
      <c r="AZ35" s="169"/>
    </row>
    <row r="36" spans="1:52" x14ac:dyDescent="0.25">
      <c r="A36" s="113">
        <v>32</v>
      </c>
      <c r="B36" s="114" t="s">
        <v>244</v>
      </c>
      <c r="C36" s="114" t="s">
        <v>245</v>
      </c>
      <c r="D36" s="113" t="s">
        <v>69</v>
      </c>
      <c r="F36" s="114">
        <v>1980</v>
      </c>
      <c r="G36" s="114">
        <v>0</v>
      </c>
      <c r="H36" s="114">
        <v>0</v>
      </c>
      <c r="J36" s="114">
        <v>1380</v>
      </c>
      <c r="K36" s="114">
        <v>0</v>
      </c>
      <c r="L36" s="114">
        <v>1</v>
      </c>
      <c r="N36" s="114">
        <v>1742</v>
      </c>
      <c r="O36" s="114">
        <v>0</v>
      </c>
      <c r="P36" s="114">
        <v>1</v>
      </c>
      <c r="R36" s="114">
        <v>1560</v>
      </c>
      <c r="S36" s="114">
        <v>0</v>
      </c>
      <c r="T36" s="114">
        <v>0</v>
      </c>
      <c r="V36" s="114">
        <v>1713</v>
      </c>
      <c r="W36" s="114">
        <v>0</v>
      </c>
      <c r="X36" s="114">
        <v>0</v>
      </c>
      <c r="Z36" s="169">
        <v>1643</v>
      </c>
      <c r="AA36" s="169">
        <v>62</v>
      </c>
      <c r="AB36" s="169">
        <v>0</v>
      </c>
      <c r="AC36" s="135">
        <v>2</v>
      </c>
      <c r="AD36" s="169">
        <v>2280</v>
      </c>
      <c r="AE36" s="169">
        <v>0</v>
      </c>
      <c r="AF36" s="169">
        <v>0</v>
      </c>
      <c r="AH36" s="169"/>
      <c r="AI36" s="169"/>
      <c r="AJ36" s="169"/>
      <c r="AL36" s="169"/>
      <c r="AM36" s="169"/>
      <c r="AN36" s="169"/>
      <c r="AP36" s="169"/>
      <c r="AQ36" s="169"/>
      <c r="AR36" s="169"/>
      <c r="AT36" s="169"/>
      <c r="AU36" s="169"/>
      <c r="AV36" s="169"/>
      <c r="AX36" s="169"/>
      <c r="AY36" s="169"/>
      <c r="AZ36" s="169"/>
    </row>
    <row r="37" spans="1:52" x14ac:dyDescent="0.25">
      <c r="A37" s="113">
        <v>33</v>
      </c>
      <c r="B37" s="114" t="s">
        <v>246</v>
      </c>
      <c r="C37" s="114" t="s">
        <v>247</v>
      </c>
      <c r="D37" s="113" t="s">
        <v>69</v>
      </c>
      <c r="F37" s="114">
        <v>0</v>
      </c>
      <c r="G37" s="114">
        <v>919</v>
      </c>
      <c r="H37" s="114">
        <v>0</v>
      </c>
      <c r="J37" s="114">
        <v>0</v>
      </c>
      <c r="K37" s="114">
        <v>462</v>
      </c>
      <c r="L37" s="114">
        <v>0</v>
      </c>
      <c r="N37" s="114">
        <v>0</v>
      </c>
      <c r="O37" s="114">
        <v>1086</v>
      </c>
      <c r="P37" s="114">
        <v>0</v>
      </c>
      <c r="R37" s="114">
        <v>0</v>
      </c>
      <c r="S37" s="114">
        <v>653</v>
      </c>
      <c r="T37" s="114">
        <v>0</v>
      </c>
      <c r="V37" s="114">
        <v>0</v>
      </c>
      <c r="W37" s="114">
        <v>1200</v>
      </c>
      <c r="X37" s="114">
        <v>0</v>
      </c>
      <c r="Z37" s="169">
        <v>0</v>
      </c>
      <c r="AA37" s="169">
        <v>766</v>
      </c>
      <c r="AB37" s="169">
        <v>0</v>
      </c>
      <c r="AC37" s="135">
        <v>2</v>
      </c>
      <c r="AD37" s="169">
        <v>0</v>
      </c>
      <c r="AE37" s="169">
        <v>720</v>
      </c>
      <c r="AF37" s="169">
        <v>0</v>
      </c>
      <c r="AH37" s="169"/>
      <c r="AI37" s="169"/>
      <c r="AJ37" s="169"/>
      <c r="AL37" s="169"/>
      <c r="AM37" s="169"/>
      <c r="AN37" s="169"/>
      <c r="AP37" s="169"/>
      <c r="AQ37" s="169"/>
      <c r="AR37" s="169"/>
      <c r="AT37" s="169"/>
      <c r="AU37" s="169"/>
      <c r="AV37" s="169"/>
      <c r="AX37" s="169"/>
      <c r="AY37" s="169"/>
      <c r="AZ37" s="169"/>
    </row>
    <row r="38" spans="1:52" x14ac:dyDescent="0.25">
      <c r="A38" s="113">
        <v>34</v>
      </c>
      <c r="B38" s="114" t="s">
        <v>248</v>
      </c>
      <c r="C38" s="114" t="s">
        <v>249</v>
      </c>
      <c r="D38" s="113" t="s">
        <v>69</v>
      </c>
      <c r="F38" s="114">
        <v>0</v>
      </c>
      <c r="G38" s="114">
        <v>840</v>
      </c>
      <c r="H38" s="114">
        <v>0</v>
      </c>
      <c r="J38" s="114">
        <v>0</v>
      </c>
      <c r="K38" s="114">
        <v>780</v>
      </c>
      <c r="L38" s="114">
        <v>0</v>
      </c>
      <c r="N38" s="114">
        <v>0</v>
      </c>
      <c r="O38" s="114">
        <v>1020</v>
      </c>
      <c r="P38" s="114">
        <v>0</v>
      </c>
      <c r="R38" s="114">
        <v>0</v>
      </c>
      <c r="S38" s="114">
        <v>936</v>
      </c>
      <c r="T38" s="114">
        <v>0</v>
      </c>
      <c r="V38" s="114">
        <v>0</v>
      </c>
      <c r="W38" s="114">
        <v>900</v>
      </c>
      <c r="X38" s="114">
        <v>0</v>
      </c>
      <c r="Z38" s="169">
        <v>0</v>
      </c>
      <c r="AA38" s="169">
        <v>826</v>
      </c>
      <c r="AB38" s="169">
        <v>0</v>
      </c>
      <c r="AC38" s="135">
        <v>2</v>
      </c>
      <c r="AD38" s="169"/>
      <c r="AE38" s="169"/>
      <c r="AF38" s="169"/>
      <c r="AH38" s="169"/>
      <c r="AI38" s="169"/>
      <c r="AJ38" s="169"/>
      <c r="AL38" s="169"/>
      <c r="AM38" s="169"/>
      <c r="AN38" s="169"/>
      <c r="AP38" s="169"/>
      <c r="AQ38" s="169"/>
      <c r="AR38" s="169"/>
      <c r="AT38" s="169"/>
      <c r="AU38" s="169"/>
      <c r="AV38" s="169"/>
      <c r="AX38" s="169"/>
      <c r="AY38" s="169"/>
      <c r="AZ38" s="169"/>
    </row>
    <row r="39" spans="1:52" x14ac:dyDescent="0.25">
      <c r="A39" s="113">
        <v>35</v>
      </c>
      <c r="B39" s="114" t="s">
        <v>250</v>
      </c>
      <c r="C39" s="114" t="s">
        <v>251</v>
      </c>
      <c r="D39" s="113" t="s">
        <v>69</v>
      </c>
      <c r="E39" s="173"/>
      <c r="F39" s="114">
        <v>5900</v>
      </c>
      <c r="G39" s="114">
        <v>0</v>
      </c>
      <c r="H39" s="114">
        <v>2</v>
      </c>
      <c r="I39" s="173"/>
      <c r="J39" s="114">
        <v>6796</v>
      </c>
      <c r="K39" s="114">
        <v>0</v>
      </c>
      <c r="L39" s="114">
        <v>4</v>
      </c>
      <c r="M39" s="173"/>
      <c r="N39" s="114">
        <v>5200</v>
      </c>
      <c r="O39" s="114">
        <v>0</v>
      </c>
      <c r="P39" s="114">
        <v>0</v>
      </c>
      <c r="Q39" s="173"/>
      <c r="R39" s="114">
        <v>4000</v>
      </c>
      <c r="S39" s="114">
        <v>0</v>
      </c>
      <c r="T39" s="114">
        <v>0</v>
      </c>
      <c r="U39" s="173"/>
      <c r="V39" s="114">
        <v>6600</v>
      </c>
      <c r="W39" s="114">
        <v>0</v>
      </c>
      <c r="X39" s="114">
        <v>0</v>
      </c>
      <c r="Z39" s="169">
        <v>5900</v>
      </c>
      <c r="AA39" s="169">
        <v>0</v>
      </c>
      <c r="AB39" s="169">
        <v>0</v>
      </c>
      <c r="AC39" s="135">
        <v>2</v>
      </c>
      <c r="AD39" s="169">
        <v>4700</v>
      </c>
      <c r="AE39" s="169">
        <v>0</v>
      </c>
      <c r="AF39" s="169">
        <v>0</v>
      </c>
      <c r="AH39" s="169"/>
      <c r="AI39" s="169"/>
      <c r="AJ39" s="169"/>
      <c r="AL39" s="169"/>
      <c r="AM39" s="169"/>
      <c r="AN39" s="169"/>
      <c r="AP39" s="169"/>
      <c r="AQ39" s="169"/>
      <c r="AR39" s="169"/>
      <c r="AT39" s="169"/>
      <c r="AU39" s="169"/>
      <c r="AV39" s="169"/>
      <c r="AX39" s="169"/>
      <c r="AY39" s="169"/>
      <c r="AZ39" s="169"/>
    </row>
    <row r="40" spans="1:52" x14ac:dyDescent="0.25">
      <c r="A40" s="113">
        <v>36</v>
      </c>
      <c r="B40" s="114" t="s">
        <v>252</v>
      </c>
      <c r="C40" s="114" t="s">
        <v>253</v>
      </c>
      <c r="D40" s="113" t="s">
        <v>69</v>
      </c>
      <c r="F40" s="114">
        <v>5900</v>
      </c>
      <c r="G40" s="114">
        <v>0</v>
      </c>
      <c r="H40" s="114">
        <v>6</v>
      </c>
      <c r="J40" s="114">
        <v>6796</v>
      </c>
      <c r="K40" s="114">
        <v>0</v>
      </c>
      <c r="L40" s="114">
        <v>4</v>
      </c>
      <c r="N40" s="114">
        <v>5200</v>
      </c>
      <c r="O40" s="114">
        <v>0</v>
      </c>
      <c r="P40" s="114">
        <v>0</v>
      </c>
      <c r="R40" s="114">
        <v>4000</v>
      </c>
      <c r="S40" s="114">
        <v>0</v>
      </c>
      <c r="T40" s="114">
        <v>0</v>
      </c>
      <c r="V40" s="114">
        <v>6600</v>
      </c>
      <c r="W40" s="114">
        <v>0</v>
      </c>
      <c r="X40" s="114">
        <v>0</v>
      </c>
      <c r="Z40" s="169">
        <v>5800</v>
      </c>
      <c r="AA40" s="169">
        <v>0</v>
      </c>
      <c r="AB40" s="169">
        <v>0</v>
      </c>
      <c r="AC40" s="135">
        <v>2</v>
      </c>
      <c r="AD40" s="169">
        <v>4800</v>
      </c>
      <c r="AE40" s="169">
        <v>0</v>
      </c>
      <c r="AF40" s="169">
        <v>0</v>
      </c>
      <c r="AH40" s="169"/>
      <c r="AI40" s="169"/>
      <c r="AJ40" s="169"/>
      <c r="AL40" s="169"/>
      <c r="AM40" s="169"/>
      <c r="AN40" s="169"/>
      <c r="AP40" s="169"/>
      <c r="AQ40" s="169"/>
      <c r="AR40" s="169"/>
      <c r="AT40" s="169"/>
      <c r="AU40" s="169"/>
      <c r="AV40" s="169"/>
      <c r="AX40" s="169"/>
      <c r="AY40" s="169"/>
      <c r="AZ40" s="169"/>
    </row>
    <row r="41" spans="1:52" x14ac:dyDescent="0.25">
      <c r="A41" s="113">
        <v>37</v>
      </c>
      <c r="B41" s="114" t="s">
        <v>254</v>
      </c>
      <c r="C41" s="114" t="s">
        <v>255</v>
      </c>
      <c r="D41" s="113" t="s">
        <v>69</v>
      </c>
      <c r="F41" s="114">
        <v>8900</v>
      </c>
      <c r="G41" s="114">
        <v>0</v>
      </c>
      <c r="H41" s="114">
        <v>0</v>
      </c>
      <c r="J41" s="114">
        <v>4400</v>
      </c>
      <c r="K41" s="114">
        <v>0</v>
      </c>
      <c r="L41" s="114">
        <v>0</v>
      </c>
      <c r="N41" s="114">
        <v>5000</v>
      </c>
      <c r="O41" s="114">
        <v>0</v>
      </c>
      <c r="P41" s="114">
        <v>0</v>
      </c>
      <c r="R41" s="114">
        <v>4900</v>
      </c>
      <c r="S41" s="114">
        <v>0</v>
      </c>
      <c r="T41" s="114">
        <v>0</v>
      </c>
      <c r="V41" s="114">
        <v>5435</v>
      </c>
      <c r="W41" s="114">
        <v>0</v>
      </c>
      <c r="X41" s="114">
        <v>0</v>
      </c>
      <c r="Z41" s="169">
        <v>4100</v>
      </c>
      <c r="AA41" s="169">
        <v>0</v>
      </c>
      <c r="AB41" s="169">
        <v>0</v>
      </c>
      <c r="AC41" s="135">
        <v>2</v>
      </c>
      <c r="AD41" s="169">
        <v>4000</v>
      </c>
      <c r="AE41" s="169">
        <v>0</v>
      </c>
      <c r="AF41" s="169">
        <v>0</v>
      </c>
      <c r="AH41" s="169"/>
      <c r="AI41" s="169"/>
      <c r="AJ41" s="169"/>
      <c r="AL41" s="169"/>
      <c r="AM41" s="169"/>
      <c r="AN41" s="169"/>
      <c r="AP41" s="169"/>
      <c r="AQ41" s="169"/>
      <c r="AR41" s="169"/>
      <c r="AT41" s="169"/>
      <c r="AU41" s="169"/>
      <c r="AV41" s="169"/>
      <c r="AX41" s="169"/>
      <c r="AY41" s="169"/>
      <c r="AZ41" s="169"/>
    </row>
    <row r="42" spans="1:52" x14ac:dyDescent="0.25">
      <c r="A42" s="113">
        <v>38</v>
      </c>
      <c r="B42" s="114" t="s">
        <v>256</v>
      </c>
      <c r="C42" s="114" t="s">
        <v>257</v>
      </c>
      <c r="D42" s="113" t="s">
        <v>69</v>
      </c>
      <c r="F42" s="114">
        <v>1020</v>
      </c>
      <c r="G42" s="114">
        <v>0</v>
      </c>
      <c r="H42" s="114">
        <v>0</v>
      </c>
      <c r="J42" s="114">
        <v>240</v>
      </c>
      <c r="K42" s="114">
        <v>0</v>
      </c>
      <c r="L42" s="114">
        <v>0</v>
      </c>
      <c r="N42" s="114">
        <v>780</v>
      </c>
      <c r="O42" s="114">
        <v>0</v>
      </c>
      <c r="P42" s="114">
        <v>0</v>
      </c>
      <c r="R42" s="114">
        <v>300</v>
      </c>
      <c r="S42" s="114">
        <v>0</v>
      </c>
      <c r="T42" s="114">
        <v>0</v>
      </c>
      <c r="V42" s="114">
        <v>660</v>
      </c>
      <c r="W42" s="114">
        <v>0</v>
      </c>
      <c r="X42" s="114">
        <v>0</v>
      </c>
      <c r="Z42" s="169">
        <v>900</v>
      </c>
      <c r="AA42" s="169">
        <v>0</v>
      </c>
      <c r="AB42" s="169">
        <v>0</v>
      </c>
      <c r="AC42" s="135">
        <v>2</v>
      </c>
      <c r="AD42" s="169">
        <v>840</v>
      </c>
      <c r="AE42" s="169">
        <v>0</v>
      </c>
      <c r="AF42" s="169">
        <v>0</v>
      </c>
      <c r="AH42" s="169"/>
      <c r="AI42" s="169"/>
      <c r="AJ42" s="169"/>
      <c r="AL42" s="169"/>
      <c r="AM42" s="169"/>
      <c r="AN42" s="169"/>
      <c r="AP42" s="169"/>
      <c r="AQ42" s="169"/>
      <c r="AR42" s="169"/>
      <c r="AT42" s="169"/>
      <c r="AU42" s="169"/>
      <c r="AV42" s="169"/>
      <c r="AX42" s="169"/>
      <c r="AY42" s="169"/>
      <c r="AZ42" s="169"/>
    </row>
    <row r="43" spans="1:52" x14ac:dyDescent="0.25">
      <c r="A43" s="113">
        <v>39</v>
      </c>
      <c r="B43" s="114" t="s">
        <v>258</v>
      </c>
      <c r="C43" s="114" t="s">
        <v>259</v>
      </c>
      <c r="D43" s="113" t="s">
        <v>69</v>
      </c>
      <c r="F43" s="114">
        <v>864</v>
      </c>
      <c r="G43" s="114">
        <v>0</v>
      </c>
      <c r="H43" s="114">
        <v>0</v>
      </c>
      <c r="J43" s="114">
        <v>360</v>
      </c>
      <c r="K43" s="114">
        <v>0</v>
      </c>
      <c r="L43" s="114">
        <v>0</v>
      </c>
      <c r="N43" s="114">
        <v>660</v>
      </c>
      <c r="O43" s="114">
        <v>0</v>
      </c>
      <c r="P43" s="114">
        <v>0</v>
      </c>
      <c r="R43" s="114">
        <v>180</v>
      </c>
      <c r="S43" s="114">
        <v>0</v>
      </c>
      <c r="T43" s="114">
        <v>0</v>
      </c>
      <c r="V43" s="114">
        <v>780</v>
      </c>
      <c r="W43" s="114">
        <v>0</v>
      </c>
      <c r="X43" s="114">
        <v>0</v>
      </c>
      <c r="Z43" s="169">
        <v>660</v>
      </c>
      <c r="AA43" s="169">
        <v>0</v>
      </c>
      <c r="AB43" s="169">
        <v>0</v>
      </c>
      <c r="AC43" s="135">
        <v>2</v>
      </c>
      <c r="AD43" s="169">
        <v>980</v>
      </c>
      <c r="AE43" s="169">
        <v>0</v>
      </c>
      <c r="AF43" s="169">
        <v>0</v>
      </c>
      <c r="AH43" s="169"/>
      <c r="AI43" s="169"/>
      <c r="AJ43" s="169"/>
      <c r="AL43" s="169"/>
      <c r="AM43" s="169"/>
      <c r="AN43" s="169"/>
      <c r="AP43" s="169"/>
      <c r="AQ43" s="169"/>
      <c r="AR43" s="169"/>
      <c r="AT43" s="169"/>
      <c r="AU43" s="169"/>
      <c r="AV43" s="169"/>
      <c r="AX43" s="169"/>
      <c r="AY43" s="169"/>
      <c r="AZ43" s="169"/>
    </row>
    <row r="44" spans="1:52" x14ac:dyDescent="0.25">
      <c r="A44" s="113">
        <v>40</v>
      </c>
      <c r="B44" s="114" t="s">
        <v>260</v>
      </c>
      <c r="C44" s="114" t="s">
        <v>261</v>
      </c>
      <c r="D44" s="113" t="s">
        <v>69</v>
      </c>
      <c r="F44" s="114">
        <v>1488</v>
      </c>
      <c r="G44" s="114">
        <v>0</v>
      </c>
      <c r="H44" s="114">
        <v>0</v>
      </c>
      <c r="J44" s="114">
        <v>900</v>
      </c>
      <c r="K44" s="114">
        <v>0</v>
      </c>
      <c r="L44" s="114">
        <v>0</v>
      </c>
      <c r="N44" s="114">
        <v>1260</v>
      </c>
      <c r="O44" s="114">
        <v>0</v>
      </c>
      <c r="P44" s="114">
        <v>0</v>
      </c>
      <c r="R44" s="114">
        <v>780</v>
      </c>
      <c r="S44" s="114">
        <v>0</v>
      </c>
      <c r="T44" s="114">
        <v>0</v>
      </c>
      <c r="V44" s="114">
        <v>1500</v>
      </c>
      <c r="W44" s="114">
        <v>0</v>
      </c>
      <c r="X44" s="114">
        <v>0</v>
      </c>
      <c r="Z44" s="169">
        <v>1500</v>
      </c>
      <c r="AA44" s="169">
        <v>0</v>
      </c>
      <c r="AB44" s="169">
        <v>0</v>
      </c>
      <c r="AC44" s="135">
        <v>2</v>
      </c>
      <c r="AD44" s="169">
        <v>1504</v>
      </c>
      <c r="AE44" s="169">
        <v>0</v>
      </c>
      <c r="AF44" s="169">
        <v>0</v>
      </c>
      <c r="AH44" s="169"/>
      <c r="AI44" s="169"/>
      <c r="AJ44" s="169"/>
      <c r="AL44" s="169"/>
      <c r="AM44" s="169"/>
      <c r="AN44" s="169"/>
      <c r="AP44" s="169"/>
      <c r="AQ44" s="169"/>
      <c r="AR44" s="169"/>
      <c r="AT44" s="169"/>
      <c r="AU44" s="169"/>
      <c r="AV44" s="169"/>
      <c r="AX44" s="169"/>
      <c r="AY44" s="169"/>
      <c r="AZ44" s="169"/>
    </row>
    <row r="45" spans="1:52" x14ac:dyDescent="0.25">
      <c r="A45" s="113">
        <v>41</v>
      </c>
      <c r="B45" s="114" t="s">
        <v>262</v>
      </c>
      <c r="C45" s="114" t="s">
        <v>263</v>
      </c>
      <c r="D45" s="113" t="s">
        <v>69</v>
      </c>
      <c r="F45" s="114">
        <v>780</v>
      </c>
      <c r="G45" s="114">
        <v>0</v>
      </c>
      <c r="H45" s="114">
        <v>0</v>
      </c>
      <c r="J45" s="114">
        <v>600</v>
      </c>
      <c r="K45" s="114">
        <v>0</v>
      </c>
      <c r="L45" s="114">
        <v>0</v>
      </c>
      <c r="N45" s="114">
        <v>480</v>
      </c>
      <c r="O45" s="114">
        <v>0</v>
      </c>
      <c r="P45" s="114">
        <v>0</v>
      </c>
      <c r="R45" s="114">
        <v>660</v>
      </c>
      <c r="S45" s="114">
        <v>0</v>
      </c>
      <c r="T45" s="114">
        <v>0</v>
      </c>
      <c r="V45" s="114">
        <v>624</v>
      </c>
      <c r="W45" s="114">
        <v>0</v>
      </c>
      <c r="X45" s="114">
        <v>0</v>
      </c>
      <c r="Z45" s="169">
        <v>600</v>
      </c>
      <c r="AA45" s="169">
        <v>0</v>
      </c>
      <c r="AB45" s="169">
        <v>0</v>
      </c>
      <c r="AC45" s="135">
        <v>2</v>
      </c>
      <c r="AD45" s="169">
        <v>666</v>
      </c>
      <c r="AE45" s="169">
        <v>0</v>
      </c>
      <c r="AF45" s="169">
        <v>0</v>
      </c>
      <c r="AH45" s="169"/>
      <c r="AI45" s="169"/>
      <c r="AJ45" s="169"/>
      <c r="AL45" s="169"/>
      <c r="AM45" s="169"/>
      <c r="AN45" s="169"/>
      <c r="AP45" s="169"/>
      <c r="AQ45" s="169"/>
      <c r="AR45" s="169"/>
      <c r="AT45" s="169"/>
      <c r="AU45" s="169"/>
      <c r="AV45" s="169"/>
      <c r="AX45" s="169"/>
      <c r="AY45" s="169"/>
      <c r="AZ45" s="169"/>
    </row>
    <row r="46" spans="1:52" x14ac:dyDescent="0.25">
      <c r="A46" s="113">
        <v>42</v>
      </c>
      <c r="B46" s="114" t="s">
        <v>264</v>
      </c>
      <c r="C46" s="114" t="s">
        <v>265</v>
      </c>
      <c r="D46" s="113" t="s">
        <v>69</v>
      </c>
      <c r="F46" s="114"/>
      <c r="G46" s="114"/>
      <c r="H46" s="114"/>
      <c r="J46" s="114">
        <v>60</v>
      </c>
      <c r="K46" s="114">
        <v>0</v>
      </c>
      <c r="L46" s="114">
        <v>0</v>
      </c>
      <c r="N46" s="114"/>
      <c r="O46" s="114"/>
      <c r="P46" s="114"/>
      <c r="R46" s="114">
        <v>60</v>
      </c>
      <c r="S46" s="114">
        <v>0</v>
      </c>
      <c r="T46" s="114">
        <v>0</v>
      </c>
      <c r="V46" s="114">
        <v>60</v>
      </c>
      <c r="W46" s="114">
        <v>0</v>
      </c>
      <c r="X46" s="114">
        <v>0</v>
      </c>
      <c r="Z46" s="169"/>
      <c r="AA46" s="169"/>
      <c r="AB46" s="169"/>
      <c r="AC46" s="135">
        <v>2</v>
      </c>
      <c r="AD46" s="169">
        <v>72</v>
      </c>
      <c r="AE46" s="169">
        <v>0</v>
      </c>
      <c r="AF46" s="169">
        <v>0</v>
      </c>
      <c r="AH46" s="169"/>
      <c r="AI46" s="169"/>
      <c r="AJ46" s="169"/>
      <c r="AL46" s="169"/>
      <c r="AM46" s="169"/>
      <c r="AN46" s="169"/>
      <c r="AP46" s="169"/>
      <c r="AQ46" s="169"/>
      <c r="AR46" s="169"/>
      <c r="AT46" s="169"/>
      <c r="AU46" s="169"/>
      <c r="AV46" s="169"/>
      <c r="AX46" s="169"/>
      <c r="AY46" s="169"/>
      <c r="AZ46" s="169"/>
    </row>
    <row r="47" spans="1:52" x14ac:dyDescent="0.25">
      <c r="A47" s="113">
        <v>43</v>
      </c>
      <c r="B47" s="114" t="s">
        <v>266</v>
      </c>
      <c r="C47" s="114" t="s">
        <v>267</v>
      </c>
      <c r="D47" s="113" t="s">
        <v>69</v>
      </c>
      <c r="F47" s="114">
        <v>960</v>
      </c>
      <c r="G47" s="114">
        <v>0</v>
      </c>
      <c r="H47" s="114">
        <v>0</v>
      </c>
      <c r="J47" s="114">
        <v>180</v>
      </c>
      <c r="K47" s="114">
        <v>0</v>
      </c>
      <c r="L47" s="114">
        <v>0</v>
      </c>
      <c r="N47" s="114">
        <v>780</v>
      </c>
      <c r="O47" s="114">
        <v>0</v>
      </c>
      <c r="P47" s="114">
        <v>0</v>
      </c>
      <c r="R47" s="114">
        <v>180</v>
      </c>
      <c r="S47" s="114">
        <v>0</v>
      </c>
      <c r="T47" s="114">
        <v>0</v>
      </c>
      <c r="V47" s="114">
        <v>840</v>
      </c>
      <c r="W47" s="114">
        <v>0</v>
      </c>
      <c r="X47" s="114">
        <v>0</v>
      </c>
      <c r="Z47" s="169">
        <v>864</v>
      </c>
      <c r="AA47" s="169">
        <v>0</v>
      </c>
      <c r="AB47" s="169">
        <v>0</v>
      </c>
      <c r="AC47" s="135">
        <v>2</v>
      </c>
      <c r="AD47" s="169">
        <v>720</v>
      </c>
      <c r="AE47" s="169">
        <v>0</v>
      </c>
      <c r="AF47" s="169">
        <v>0</v>
      </c>
      <c r="AH47" s="169"/>
      <c r="AI47" s="169"/>
      <c r="AJ47" s="169"/>
      <c r="AL47" s="169"/>
      <c r="AM47" s="169"/>
      <c r="AN47" s="169"/>
      <c r="AP47" s="169"/>
      <c r="AQ47" s="169"/>
      <c r="AR47" s="169"/>
      <c r="AT47" s="169"/>
      <c r="AU47" s="169"/>
      <c r="AV47" s="169"/>
      <c r="AX47" s="169"/>
      <c r="AY47" s="169"/>
      <c r="AZ47" s="169"/>
    </row>
    <row r="48" spans="1:52" x14ac:dyDescent="0.25">
      <c r="A48" s="113">
        <v>44</v>
      </c>
      <c r="B48" s="114" t="s">
        <v>268</v>
      </c>
      <c r="C48" s="114" t="s">
        <v>269</v>
      </c>
      <c r="D48" s="113" t="s">
        <v>69</v>
      </c>
      <c r="F48" s="114">
        <v>1440</v>
      </c>
      <c r="G48" s="114">
        <v>0</v>
      </c>
      <c r="H48" s="114">
        <v>1</v>
      </c>
      <c r="J48" s="114">
        <v>1320</v>
      </c>
      <c r="K48" s="114">
        <v>0</v>
      </c>
      <c r="L48" s="114">
        <v>0</v>
      </c>
      <c r="N48" s="114">
        <v>1110</v>
      </c>
      <c r="O48" s="114">
        <v>0</v>
      </c>
      <c r="P48" s="114">
        <v>0</v>
      </c>
      <c r="R48" s="114">
        <v>1140</v>
      </c>
      <c r="S48" s="114">
        <v>0</v>
      </c>
      <c r="T48" s="114">
        <v>0</v>
      </c>
      <c r="V48" s="114">
        <v>1260</v>
      </c>
      <c r="W48" s="114">
        <v>0</v>
      </c>
      <c r="X48" s="114">
        <v>0</v>
      </c>
      <c r="Z48" s="169">
        <v>1500</v>
      </c>
      <c r="AA48" s="169">
        <v>0</v>
      </c>
      <c r="AB48" s="169">
        <v>0</v>
      </c>
      <c r="AC48" s="135">
        <v>2</v>
      </c>
      <c r="AD48" s="169">
        <v>1560</v>
      </c>
      <c r="AE48" s="169">
        <v>0</v>
      </c>
      <c r="AF48" s="169">
        <v>0</v>
      </c>
      <c r="AH48" s="169"/>
      <c r="AI48" s="169"/>
      <c r="AJ48" s="169"/>
      <c r="AL48" s="169"/>
      <c r="AM48" s="169"/>
      <c r="AN48" s="169"/>
      <c r="AP48" s="169"/>
      <c r="AQ48" s="169"/>
      <c r="AR48" s="169"/>
      <c r="AT48" s="169"/>
      <c r="AU48" s="169"/>
      <c r="AV48" s="169"/>
      <c r="AX48" s="169"/>
      <c r="AY48" s="169"/>
      <c r="AZ48" s="169"/>
    </row>
    <row r="49" spans="1:52" x14ac:dyDescent="0.25">
      <c r="A49" s="113">
        <v>45</v>
      </c>
      <c r="B49" s="114" t="s">
        <v>270</v>
      </c>
      <c r="C49" s="114" t="s">
        <v>271</v>
      </c>
      <c r="D49" s="113" t="s">
        <v>69</v>
      </c>
      <c r="F49" s="114">
        <v>540</v>
      </c>
      <c r="G49" s="114">
        <v>0</v>
      </c>
      <c r="H49" s="114">
        <v>0</v>
      </c>
      <c r="J49" s="114">
        <v>840</v>
      </c>
      <c r="K49" s="114">
        <v>0</v>
      </c>
      <c r="L49" s="114">
        <v>0</v>
      </c>
      <c r="N49" s="114">
        <v>680</v>
      </c>
      <c r="O49" s="114">
        <v>0</v>
      </c>
      <c r="P49" s="114">
        <v>0</v>
      </c>
      <c r="R49" s="114">
        <v>785</v>
      </c>
      <c r="S49" s="114">
        <v>0</v>
      </c>
      <c r="T49" s="114">
        <v>0</v>
      </c>
      <c r="V49" s="114">
        <v>900</v>
      </c>
      <c r="W49" s="114">
        <v>0</v>
      </c>
      <c r="X49" s="114">
        <v>0</v>
      </c>
      <c r="Z49" s="169">
        <v>840</v>
      </c>
      <c r="AA49" s="169">
        <v>0</v>
      </c>
      <c r="AB49" s="169">
        <v>0</v>
      </c>
      <c r="AC49" s="135">
        <v>2</v>
      </c>
      <c r="AD49" s="169">
        <v>1140</v>
      </c>
      <c r="AE49" s="169">
        <v>0</v>
      </c>
      <c r="AF49" s="169">
        <v>0</v>
      </c>
      <c r="AH49" s="169"/>
      <c r="AI49" s="169"/>
      <c r="AJ49" s="169"/>
      <c r="AL49" s="169"/>
      <c r="AM49" s="169"/>
      <c r="AN49" s="169"/>
      <c r="AP49" s="169"/>
      <c r="AQ49" s="169"/>
      <c r="AR49" s="169"/>
      <c r="AT49" s="169"/>
      <c r="AU49" s="169"/>
      <c r="AV49" s="169"/>
      <c r="AX49" s="169"/>
      <c r="AY49" s="169"/>
      <c r="AZ49" s="169"/>
    </row>
    <row r="50" spans="1:52" x14ac:dyDescent="0.25">
      <c r="A50" s="113">
        <v>46</v>
      </c>
      <c r="B50" s="114" t="s">
        <v>272</v>
      </c>
      <c r="C50" s="114" t="s">
        <v>273</v>
      </c>
      <c r="D50" s="113" t="s">
        <v>69</v>
      </c>
      <c r="F50" s="114">
        <v>0</v>
      </c>
      <c r="G50" s="114">
        <v>540</v>
      </c>
      <c r="H50" s="114">
        <v>0</v>
      </c>
      <c r="J50" s="114">
        <v>0</v>
      </c>
      <c r="K50" s="114">
        <v>780</v>
      </c>
      <c r="L50" s="114">
        <v>0</v>
      </c>
      <c r="N50" s="114">
        <v>0</v>
      </c>
      <c r="O50" s="114">
        <v>618</v>
      </c>
      <c r="P50" s="114">
        <v>15</v>
      </c>
      <c r="R50" s="114">
        <v>540</v>
      </c>
      <c r="S50" s="114">
        <v>300</v>
      </c>
      <c r="T50" s="114">
        <v>15</v>
      </c>
      <c r="V50" s="114">
        <v>1140</v>
      </c>
      <c r="W50" s="114">
        <v>0</v>
      </c>
      <c r="X50" s="114">
        <v>0</v>
      </c>
      <c r="Z50" s="169">
        <v>540</v>
      </c>
      <c r="AA50" s="169">
        <v>0</v>
      </c>
      <c r="AB50" s="169">
        <v>0</v>
      </c>
      <c r="AC50" s="135">
        <v>2</v>
      </c>
      <c r="AD50" s="169">
        <v>1080</v>
      </c>
      <c r="AE50" s="169">
        <v>0</v>
      </c>
      <c r="AF50" s="169">
        <v>0</v>
      </c>
      <c r="AH50" s="169"/>
      <c r="AI50" s="169"/>
      <c r="AJ50" s="169"/>
      <c r="AL50" s="169"/>
      <c r="AM50" s="169"/>
      <c r="AN50" s="169"/>
      <c r="AP50" s="169"/>
      <c r="AQ50" s="169"/>
      <c r="AR50" s="169"/>
      <c r="AT50" s="169"/>
      <c r="AU50" s="169"/>
      <c r="AV50" s="169"/>
      <c r="AX50" s="169"/>
      <c r="AY50" s="169"/>
      <c r="AZ50" s="169"/>
    </row>
    <row r="51" spans="1:52" x14ac:dyDescent="0.25">
      <c r="A51" s="113">
        <v>47</v>
      </c>
      <c r="B51" s="114" t="s">
        <v>274</v>
      </c>
      <c r="C51" s="143" t="s">
        <v>275</v>
      </c>
      <c r="D51" s="113" t="s">
        <v>69</v>
      </c>
      <c r="F51" s="114">
        <v>0</v>
      </c>
      <c r="G51" s="114">
        <v>3120</v>
      </c>
      <c r="H51" s="114">
        <v>0</v>
      </c>
      <c r="J51" s="114">
        <v>0</v>
      </c>
      <c r="K51" s="114">
        <v>2280</v>
      </c>
      <c r="L51" s="114">
        <v>0</v>
      </c>
      <c r="N51" s="114">
        <v>0</v>
      </c>
      <c r="O51" s="114">
        <v>2600</v>
      </c>
      <c r="P51" s="114">
        <v>0</v>
      </c>
      <c r="R51" s="114">
        <v>0</v>
      </c>
      <c r="S51" s="114">
        <v>2656</v>
      </c>
      <c r="T51" s="114">
        <v>0</v>
      </c>
      <c r="V51" s="114">
        <v>0</v>
      </c>
      <c r="W51" s="114">
        <v>3043</v>
      </c>
      <c r="X51" s="114">
        <v>0</v>
      </c>
      <c r="Z51" s="169">
        <v>0</v>
      </c>
      <c r="AA51" s="169">
        <v>2790</v>
      </c>
      <c r="AB51" s="169">
        <v>0</v>
      </c>
      <c r="AC51" s="135">
        <v>2</v>
      </c>
      <c r="AD51" s="169">
        <v>3120</v>
      </c>
      <c r="AE51" s="169">
        <v>0</v>
      </c>
      <c r="AF51" s="169">
        <v>0</v>
      </c>
      <c r="AH51" s="169"/>
      <c r="AI51" s="169"/>
      <c r="AJ51" s="169"/>
      <c r="AL51" s="169"/>
      <c r="AM51" s="169"/>
      <c r="AN51" s="169"/>
      <c r="AP51" s="169"/>
      <c r="AQ51" s="169"/>
      <c r="AR51" s="169"/>
      <c r="AT51" s="169"/>
      <c r="AU51" s="169"/>
      <c r="AV51" s="169"/>
      <c r="AX51" s="169"/>
      <c r="AY51" s="169"/>
      <c r="AZ51" s="169"/>
    </row>
    <row r="52" spans="1:52" x14ac:dyDescent="0.25">
      <c r="A52" s="113">
        <v>48</v>
      </c>
      <c r="B52" s="114" t="s">
        <v>276</v>
      </c>
      <c r="C52" s="114" t="s">
        <v>277</v>
      </c>
      <c r="D52" s="113" t="s">
        <v>69</v>
      </c>
      <c r="F52" s="114">
        <v>1768</v>
      </c>
      <c r="G52" s="114">
        <v>0</v>
      </c>
      <c r="H52" s="114">
        <v>0</v>
      </c>
      <c r="J52" s="114">
        <v>900</v>
      </c>
      <c r="K52" s="114">
        <v>0</v>
      </c>
      <c r="L52" s="114">
        <v>0</v>
      </c>
      <c r="N52" s="114">
        <v>1133</v>
      </c>
      <c r="O52" s="114">
        <v>0</v>
      </c>
      <c r="P52" s="114">
        <v>0</v>
      </c>
      <c r="R52" s="114">
        <v>946</v>
      </c>
      <c r="S52" s="114">
        <v>0</v>
      </c>
      <c r="T52" s="114">
        <v>0</v>
      </c>
      <c r="V52" s="114">
        <v>1611</v>
      </c>
      <c r="W52" s="114">
        <v>0</v>
      </c>
      <c r="X52" s="114">
        <v>0</v>
      </c>
      <c r="Z52" s="169">
        <v>1350</v>
      </c>
      <c r="AA52" s="169">
        <v>0</v>
      </c>
      <c r="AB52" s="169">
        <v>0</v>
      </c>
      <c r="AC52" s="135">
        <v>2</v>
      </c>
      <c r="AD52" s="169">
        <v>1935</v>
      </c>
      <c r="AE52" s="169">
        <v>0</v>
      </c>
      <c r="AF52" s="169">
        <v>0</v>
      </c>
      <c r="AH52" s="169"/>
      <c r="AI52" s="169"/>
      <c r="AJ52" s="169"/>
      <c r="AL52" s="169"/>
      <c r="AM52" s="169"/>
      <c r="AN52" s="169"/>
      <c r="AP52" s="169"/>
      <c r="AQ52" s="169"/>
      <c r="AR52" s="169"/>
      <c r="AT52" s="169"/>
      <c r="AU52" s="169"/>
      <c r="AV52" s="169"/>
      <c r="AX52" s="169"/>
      <c r="AY52" s="169"/>
      <c r="AZ52" s="169"/>
    </row>
    <row r="53" spans="1:52" x14ac:dyDescent="0.25">
      <c r="A53" s="113">
        <v>49</v>
      </c>
      <c r="B53" s="114" t="s">
        <v>278</v>
      </c>
      <c r="C53" s="114" t="s">
        <v>279</v>
      </c>
      <c r="D53" s="113" t="s">
        <v>69</v>
      </c>
      <c r="F53" s="114">
        <v>1768</v>
      </c>
      <c r="G53" s="114">
        <v>0</v>
      </c>
      <c r="H53" s="114">
        <v>0</v>
      </c>
      <c r="J53" s="114">
        <v>900</v>
      </c>
      <c r="K53" s="114">
        <v>0</v>
      </c>
      <c r="L53" s="114">
        <v>0</v>
      </c>
      <c r="N53" s="114">
        <v>1133</v>
      </c>
      <c r="O53" s="114">
        <v>0</v>
      </c>
      <c r="P53" s="114">
        <v>0</v>
      </c>
      <c r="R53" s="114">
        <v>946</v>
      </c>
      <c r="S53" s="114">
        <v>0</v>
      </c>
      <c r="T53" s="114">
        <v>0</v>
      </c>
      <c r="V53" s="114">
        <v>1611</v>
      </c>
      <c r="W53" s="114">
        <v>0</v>
      </c>
      <c r="X53" s="114">
        <v>0</v>
      </c>
      <c r="Z53" s="169">
        <v>1350</v>
      </c>
      <c r="AA53" s="169">
        <v>0</v>
      </c>
      <c r="AB53" s="169">
        <v>0</v>
      </c>
      <c r="AC53" s="135">
        <v>2</v>
      </c>
      <c r="AD53" s="169">
        <v>1935</v>
      </c>
      <c r="AE53" s="169">
        <v>0</v>
      </c>
      <c r="AF53" s="169">
        <v>0</v>
      </c>
      <c r="AH53" s="169"/>
      <c r="AI53" s="169"/>
      <c r="AJ53" s="169"/>
      <c r="AL53" s="169"/>
      <c r="AM53" s="169"/>
      <c r="AN53" s="169"/>
      <c r="AP53" s="169"/>
      <c r="AQ53" s="169"/>
      <c r="AR53" s="169"/>
      <c r="AT53" s="169"/>
      <c r="AU53" s="169"/>
      <c r="AV53" s="169"/>
      <c r="AX53" s="169"/>
      <c r="AY53" s="169"/>
      <c r="AZ53" s="169"/>
    </row>
    <row r="54" spans="1:52" x14ac:dyDescent="0.25">
      <c r="A54" s="113">
        <v>50</v>
      </c>
      <c r="B54" s="114" t="s">
        <v>280</v>
      </c>
      <c r="C54" s="114" t="s">
        <v>281</v>
      </c>
      <c r="D54" s="113" t="s">
        <v>69</v>
      </c>
      <c r="F54" s="114">
        <v>1861</v>
      </c>
      <c r="G54" s="114">
        <v>0</v>
      </c>
      <c r="H54" s="114">
        <v>0</v>
      </c>
      <c r="J54" s="114">
        <v>900</v>
      </c>
      <c r="K54" s="114">
        <v>0</v>
      </c>
      <c r="L54" s="114">
        <v>0</v>
      </c>
      <c r="N54" s="114">
        <v>1420</v>
      </c>
      <c r="O54" s="114">
        <v>0</v>
      </c>
      <c r="P54" s="114">
        <v>0</v>
      </c>
      <c r="R54" s="114">
        <v>840</v>
      </c>
      <c r="S54" s="114">
        <v>0</v>
      </c>
      <c r="T54" s="114">
        <v>0</v>
      </c>
      <c r="V54" s="114">
        <v>1560</v>
      </c>
      <c r="W54" s="114">
        <v>0</v>
      </c>
      <c r="X54" s="114">
        <v>0</v>
      </c>
      <c r="Z54" s="169">
        <v>1440</v>
      </c>
      <c r="AA54" s="169">
        <v>0</v>
      </c>
      <c r="AB54" s="169">
        <v>0</v>
      </c>
      <c r="AC54" s="135">
        <v>2</v>
      </c>
      <c r="AD54" s="169">
        <v>1660</v>
      </c>
      <c r="AE54" s="169">
        <v>0</v>
      </c>
      <c r="AF54" s="169">
        <v>0</v>
      </c>
      <c r="AH54" s="169"/>
      <c r="AI54" s="169"/>
      <c r="AJ54" s="169"/>
      <c r="AL54" s="169"/>
      <c r="AM54" s="169"/>
      <c r="AN54" s="169"/>
      <c r="AP54" s="169"/>
      <c r="AQ54" s="169"/>
      <c r="AR54" s="169"/>
      <c r="AT54" s="169"/>
      <c r="AU54" s="169"/>
      <c r="AV54" s="169"/>
      <c r="AX54" s="169"/>
      <c r="AY54" s="169"/>
      <c r="AZ54" s="169"/>
    </row>
    <row r="55" spans="1:52" x14ac:dyDescent="0.25">
      <c r="A55" s="113">
        <v>51</v>
      </c>
      <c r="B55" s="114" t="s">
        <v>282</v>
      </c>
      <c r="C55" s="114" t="s">
        <v>283</v>
      </c>
      <c r="D55" s="113" t="s">
        <v>69</v>
      </c>
      <c r="F55" s="114">
        <v>1860</v>
      </c>
      <c r="G55" s="114">
        <v>0</v>
      </c>
      <c r="H55" s="114">
        <v>1</v>
      </c>
      <c r="J55" s="114">
        <v>900</v>
      </c>
      <c r="K55" s="114">
        <v>0</v>
      </c>
      <c r="L55" s="114">
        <v>0</v>
      </c>
      <c r="N55" s="114">
        <v>1420</v>
      </c>
      <c r="O55" s="114">
        <v>0</v>
      </c>
      <c r="P55" s="114">
        <v>0</v>
      </c>
      <c r="R55" s="114">
        <v>840</v>
      </c>
      <c r="S55" s="114">
        <v>0</v>
      </c>
      <c r="T55" s="114">
        <v>0</v>
      </c>
      <c r="V55" s="114">
        <v>1560</v>
      </c>
      <c r="W55" s="114">
        <v>0</v>
      </c>
      <c r="X55" s="114">
        <v>0</v>
      </c>
      <c r="Z55" s="169">
        <v>1440</v>
      </c>
      <c r="AA55" s="169">
        <v>0</v>
      </c>
      <c r="AB55" s="169">
        <v>0</v>
      </c>
      <c r="AC55" s="135">
        <v>2</v>
      </c>
      <c r="AD55" s="169">
        <v>1606</v>
      </c>
      <c r="AE55" s="169">
        <v>0</v>
      </c>
      <c r="AF55" s="169">
        <v>0</v>
      </c>
      <c r="AH55" s="169"/>
      <c r="AI55" s="169"/>
      <c r="AJ55" s="169"/>
      <c r="AL55" s="169"/>
      <c r="AM55" s="169"/>
      <c r="AN55" s="169"/>
      <c r="AP55" s="169"/>
      <c r="AQ55" s="169"/>
      <c r="AR55" s="169"/>
      <c r="AT55" s="169"/>
      <c r="AU55" s="169"/>
      <c r="AV55" s="169"/>
      <c r="AX55" s="169"/>
      <c r="AY55" s="169"/>
      <c r="AZ55" s="169"/>
    </row>
    <row r="56" spans="1:52" x14ac:dyDescent="0.25">
      <c r="A56" s="113">
        <v>52</v>
      </c>
      <c r="B56" s="114" t="s">
        <v>284</v>
      </c>
      <c r="C56" s="114" t="s">
        <v>285</v>
      </c>
      <c r="D56" s="113" t="s">
        <v>69</v>
      </c>
      <c r="F56" s="114">
        <v>780</v>
      </c>
      <c r="G56" s="114">
        <v>0</v>
      </c>
      <c r="H56" s="114">
        <v>0</v>
      </c>
      <c r="J56" s="114">
        <v>480</v>
      </c>
      <c r="K56" s="114">
        <v>0</v>
      </c>
      <c r="L56" s="114">
        <v>0</v>
      </c>
      <c r="N56" s="114">
        <v>900</v>
      </c>
      <c r="O56" s="114">
        <v>0</v>
      </c>
      <c r="P56" s="114">
        <v>0</v>
      </c>
      <c r="R56" s="114">
        <v>470</v>
      </c>
      <c r="S56" s="114">
        <v>0</v>
      </c>
      <c r="T56" s="114">
        <v>0</v>
      </c>
      <c r="V56" s="114">
        <v>600</v>
      </c>
      <c r="W56" s="114">
        <v>0</v>
      </c>
      <c r="X56" s="114">
        <v>0</v>
      </c>
      <c r="Z56" s="169">
        <v>780</v>
      </c>
      <c r="AA56" s="169">
        <v>0</v>
      </c>
      <c r="AB56" s="169">
        <v>0</v>
      </c>
      <c r="AC56" s="135">
        <v>2</v>
      </c>
      <c r="AD56" s="169">
        <v>705</v>
      </c>
      <c r="AE56" s="169">
        <v>0</v>
      </c>
      <c r="AF56" s="169">
        <v>0</v>
      </c>
      <c r="AH56" s="169"/>
      <c r="AI56" s="169"/>
      <c r="AJ56" s="169"/>
      <c r="AL56" s="169"/>
      <c r="AM56" s="169"/>
      <c r="AN56" s="169"/>
      <c r="AP56" s="169"/>
      <c r="AQ56" s="169"/>
      <c r="AR56" s="169"/>
      <c r="AT56" s="169"/>
      <c r="AU56" s="169"/>
      <c r="AV56" s="169"/>
      <c r="AX56" s="169"/>
      <c r="AY56" s="169"/>
      <c r="AZ56" s="169"/>
    </row>
    <row r="57" spans="1:52" x14ac:dyDescent="0.25">
      <c r="A57" s="113">
        <v>53</v>
      </c>
      <c r="B57" s="114" t="s">
        <v>286</v>
      </c>
      <c r="C57" s="114" t="s">
        <v>287</v>
      </c>
      <c r="D57" s="113" t="s">
        <v>69</v>
      </c>
      <c r="F57" s="114">
        <v>1000</v>
      </c>
      <c r="G57" s="114">
        <v>0</v>
      </c>
      <c r="H57" s="114">
        <v>0</v>
      </c>
      <c r="J57" s="114">
        <v>1400</v>
      </c>
      <c r="K57" s="114">
        <v>0</v>
      </c>
      <c r="L57" s="114">
        <v>0</v>
      </c>
      <c r="N57" s="114">
        <v>700</v>
      </c>
      <c r="O57" s="114">
        <v>0</v>
      </c>
      <c r="P57" s="114">
        <v>0</v>
      </c>
      <c r="R57" s="114">
        <v>1900</v>
      </c>
      <c r="S57" s="114">
        <v>0</v>
      </c>
      <c r="T57" s="114">
        <v>0</v>
      </c>
      <c r="V57" s="114">
        <v>1100</v>
      </c>
      <c r="W57" s="114">
        <v>0</v>
      </c>
      <c r="X57" s="114">
        <v>0</v>
      </c>
      <c r="Z57" s="169">
        <v>920</v>
      </c>
      <c r="AA57" s="169">
        <v>0</v>
      </c>
      <c r="AB57" s="169">
        <v>0</v>
      </c>
      <c r="AC57" s="135">
        <v>2</v>
      </c>
      <c r="AD57" s="169">
        <v>200</v>
      </c>
      <c r="AE57" s="169">
        <v>0</v>
      </c>
      <c r="AF57" s="169">
        <v>0</v>
      </c>
      <c r="AH57" s="169"/>
      <c r="AI57" s="169"/>
      <c r="AJ57" s="169"/>
      <c r="AL57" s="169"/>
      <c r="AM57" s="169"/>
      <c r="AN57" s="169"/>
      <c r="AP57" s="169"/>
      <c r="AQ57" s="169"/>
      <c r="AR57" s="169"/>
      <c r="AT57" s="169"/>
      <c r="AU57" s="169"/>
      <c r="AV57" s="169"/>
      <c r="AX57" s="169"/>
      <c r="AY57" s="169"/>
      <c r="AZ57" s="169"/>
    </row>
    <row r="58" spans="1:52" x14ac:dyDescent="0.25">
      <c r="A58" s="113">
        <v>54</v>
      </c>
      <c r="B58" s="114" t="s">
        <v>288</v>
      </c>
      <c r="C58" s="114" t="s">
        <v>289</v>
      </c>
      <c r="D58" s="113" t="s">
        <v>69</v>
      </c>
      <c r="F58" s="114">
        <v>900</v>
      </c>
      <c r="G58" s="114">
        <v>0</v>
      </c>
      <c r="H58" s="114">
        <v>0</v>
      </c>
      <c r="J58" s="114">
        <v>1300</v>
      </c>
      <c r="K58" s="114">
        <v>0</v>
      </c>
      <c r="L58" s="114">
        <v>0</v>
      </c>
      <c r="N58" s="114">
        <v>700</v>
      </c>
      <c r="O58" s="114">
        <v>0</v>
      </c>
      <c r="P58" s="114">
        <v>0</v>
      </c>
      <c r="R58" s="114">
        <v>1900</v>
      </c>
      <c r="S58" s="114">
        <v>0</v>
      </c>
      <c r="T58" s="114">
        <v>0</v>
      </c>
      <c r="V58" s="114">
        <v>1000</v>
      </c>
      <c r="W58" s="114">
        <v>0</v>
      </c>
      <c r="X58" s="114">
        <v>0</v>
      </c>
      <c r="Z58" s="169">
        <v>900</v>
      </c>
      <c r="AA58" s="169">
        <v>0</v>
      </c>
      <c r="AB58" s="169">
        <v>0</v>
      </c>
      <c r="AC58" s="135">
        <v>2</v>
      </c>
      <c r="AD58" s="169">
        <v>200</v>
      </c>
      <c r="AE58" s="169">
        <v>0</v>
      </c>
      <c r="AF58" s="169">
        <v>0</v>
      </c>
      <c r="AH58" s="169"/>
      <c r="AI58" s="169"/>
      <c r="AJ58" s="169"/>
      <c r="AL58" s="169"/>
      <c r="AM58" s="169"/>
      <c r="AN58" s="169"/>
      <c r="AP58" s="169"/>
      <c r="AQ58" s="169"/>
      <c r="AR58" s="169"/>
      <c r="AT58" s="169"/>
      <c r="AU58" s="169"/>
      <c r="AV58" s="169"/>
      <c r="AX58" s="169"/>
      <c r="AY58" s="169"/>
      <c r="AZ58" s="169"/>
    </row>
    <row r="59" spans="1:52" x14ac:dyDescent="0.25">
      <c r="A59" s="113">
        <v>55</v>
      </c>
      <c r="B59" s="114" t="s">
        <v>290</v>
      </c>
      <c r="C59" s="114" t="s">
        <v>291</v>
      </c>
      <c r="D59" s="113" t="s">
        <v>69</v>
      </c>
      <c r="F59" s="114">
        <v>5700</v>
      </c>
      <c r="G59" s="114">
        <v>0</v>
      </c>
      <c r="H59" s="114">
        <v>0</v>
      </c>
      <c r="J59" s="114">
        <v>5700</v>
      </c>
      <c r="K59" s="114">
        <v>0</v>
      </c>
      <c r="L59" s="114">
        <v>0</v>
      </c>
      <c r="N59" s="114">
        <v>5586</v>
      </c>
      <c r="O59" s="114">
        <v>0</v>
      </c>
      <c r="P59" s="114">
        <v>0</v>
      </c>
      <c r="R59" s="114">
        <v>5400</v>
      </c>
      <c r="S59" s="114">
        <v>0</v>
      </c>
      <c r="T59" s="114">
        <v>0</v>
      </c>
      <c r="V59" s="114">
        <v>6670</v>
      </c>
      <c r="W59" s="114">
        <v>0</v>
      </c>
      <c r="X59" s="114">
        <v>0</v>
      </c>
      <c r="Z59" s="169">
        <v>5910</v>
      </c>
      <c r="AA59" s="169">
        <v>0</v>
      </c>
      <c r="AB59" s="169">
        <v>0</v>
      </c>
      <c r="AC59" s="135">
        <v>2</v>
      </c>
      <c r="AD59" s="169">
        <v>7000</v>
      </c>
      <c r="AE59" s="169">
        <v>0</v>
      </c>
      <c r="AF59" s="169">
        <v>0</v>
      </c>
      <c r="AH59" s="169"/>
      <c r="AI59" s="169"/>
      <c r="AJ59" s="169"/>
      <c r="AL59" s="169"/>
      <c r="AM59" s="169"/>
      <c r="AN59" s="169"/>
      <c r="AP59" s="169"/>
      <c r="AQ59" s="169"/>
      <c r="AR59" s="169"/>
      <c r="AT59" s="169"/>
      <c r="AU59" s="169"/>
      <c r="AV59" s="169"/>
      <c r="AX59" s="169"/>
      <c r="AY59" s="169"/>
      <c r="AZ59" s="169"/>
    </row>
    <row r="60" spans="1:52" x14ac:dyDescent="0.25">
      <c r="A60" s="113">
        <v>56</v>
      </c>
      <c r="B60" s="114" t="s">
        <v>292</v>
      </c>
      <c r="C60" s="114" t="s">
        <v>293</v>
      </c>
      <c r="D60" s="113" t="s">
        <v>69</v>
      </c>
      <c r="F60" s="114">
        <v>5206</v>
      </c>
      <c r="G60" s="114">
        <v>694</v>
      </c>
      <c r="H60" s="114">
        <v>1</v>
      </c>
      <c r="J60" s="114">
        <v>5557</v>
      </c>
      <c r="K60" s="114">
        <v>343</v>
      </c>
      <c r="L60" s="114">
        <v>0</v>
      </c>
      <c r="N60" s="114">
        <v>5048</v>
      </c>
      <c r="O60" s="114">
        <v>452</v>
      </c>
      <c r="P60" s="114">
        <v>0</v>
      </c>
      <c r="R60" s="114">
        <v>4901</v>
      </c>
      <c r="S60" s="114">
        <v>556</v>
      </c>
      <c r="T60" s="114">
        <v>0</v>
      </c>
      <c r="V60" s="114">
        <v>6760</v>
      </c>
      <c r="W60" s="114">
        <v>440</v>
      </c>
      <c r="X60" s="114">
        <v>0</v>
      </c>
      <c r="Z60" s="169">
        <v>5790</v>
      </c>
      <c r="AA60" s="169">
        <v>527</v>
      </c>
      <c r="AB60" s="169">
        <v>0</v>
      </c>
      <c r="AC60" s="135">
        <v>2</v>
      </c>
      <c r="AD60" s="169">
        <v>6743</v>
      </c>
      <c r="AE60" s="169">
        <v>546</v>
      </c>
      <c r="AF60" s="169">
        <v>0</v>
      </c>
      <c r="AH60" s="169"/>
      <c r="AI60" s="169"/>
      <c r="AJ60" s="169"/>
      <c r="AL60" s="169"/>
      <c r="AM60" s="169"/>
      <c r="AN60" s="169"/>
      <c r="AP60" s="169"/>
      <c r="AQ60" s="169"/>
      <c r="AR60" s="169"/>
      <c r="AT60" s="169"/>
      <c r="AU60" s="169"/>
      <c r="AV60" s="169"/>
      <c r="AX60" s="169"/>
      <c r="AY60" s="169"/>
      <c r="AZ60" s="169"/>
    </row>
    <row r="61" spans="1:52" x14ac:dyDescent="0.25">
      <c r="A61" s="113">
        <v>57</v>
      </c>
      <c r="B61" s="114" t="s">
        <v>294</v>
      </c>
      <c r="C61" s="114" t="s">
        <v>295</v>
      </c>
      <c r="D61" s="113" t="s">
        <v>69</v>
      </c>
      <c r="F61" s="114">
        <v>4600</v>
      </c>
      <c r="G61" s="114">
        <v>0</v>
      </c>
      <c r="H61" s="114">
        <v>0</v>
      </c>
      <c r="J61" s="114">
        <v>4200</v>
      </c>
      <c r="K61" s="114">
        <v>0</v>
      </c>
      <c r="L61" s="114">
        <v>0</v>
      </c>
      <c r="N61" s="114">
        <v>4680</v>
      </c>
      <c r="O61" s="114">
        <v>0</v>
      </c>
      <c r="P61" s="114">
        <v>0</v>
      </c>
      <c r="R61" s="114">
        <v>4200</v>
      </c>
      <c r="S61" s="114">
        <v>0</v>
      </c>
      <c r="T61" s="114">
        <v>0</v>
      </c>
      <c r="V61" s="114">
        <v>6000</v>
      </c>
      <c r="W61" s="114">
        <v>0</v>
      </c>
      <c r="X61" s="114">
        <v>0</v>
      </c>
      <c r="Z61" s="169">
        <v>5050</v>
      </c>
      <c r="AA61" s="169">
        <v>0</v>
      </c>
      <c r="AB61" s="169">
        <v>0</v>
      </c>
      <c r="AC61" s="135">
        <v>2</v>
      </c>
      <c r="AD61" s="169">
        <v>5900</v>
      </c>
      <c r="AE61" s="169">
        <v>0</v>
      </c>
      <c r="AF61" s="169">
        <v>0</v>
      </c>
      <c r="AH61" s="169"/>
      <c r="AI61" s="169"/>
      <c r="AJ61" s="169"/>
      <c r="AL61" s="169"/>
      <c r="AM61" s="169"/>
      <c r="AN61" s="169"/>
      <c r="AP61" s="169"/>
      <c r="AQ61" s="169"/>
      <c r="AR61" s="169"/>
      <c r="AT61" s="169"/>
      <c r="AU61" s="169"/>
      <c r="AV61" s="169"/>
      <c r="AX61" s="169"/>
      <c r="AY61" s="169"/>
      <c r="AZ61" s="169"/>
    </row>
    <row r="62" spans="1:52" x14ac:dyDescent="0.25">
      <c r="A62" s="113">
        <v>58</v>
      </c>
      <c r="B62" s="114" t="s">
        <v>296</v>
      </c>
      <c r="C62" s="114" t="s">
        <v>297</v>
      </c>
      <c r="D62" s="113" t="s">
        <v>69</v>
      </c>
      <c r="F62" s="114">
        <v>1130</v>
      </c>
      <c r="G62" s="114">
        <v>0</v>
      </c>
      <c r="H62" s="114">
        <v>0</v>
      </c>
      <c r="J62" s="114">
        <v>1060</v>
      </c>
      <c r="K62" s="114">
        <v>0</v>
      </c>
      <c r="L62" s="114">
        <v>0</v>
      </c>
      <c r="N62" s="114">
        <v>1040</v>
      </c>
      <c r="O62" s="114">
        <v>0</v>
      </c>
      <c r="P62" s="114">
        <v>0</v>
      </c>
      <c r="R62" s="114">
        <v>1040</v>
      </c>
      <c r="S62" s="114">
        <v>0</v>
      </c>
      <c r="T62" s="114">
        <v>0</v>
      </c>
      <c r="V62" s="114">
        <v>1040</v>
      </c>
      <c r="W62" s="114">
        <v>0</v>
      </c>
      <c r="X62" s="114">
        <v>0</v>
      </c>
      <c r="Z62" s="169">
        <v>770</v>
      </c>
      <c r="AA62" s="169">
        <v>0</v>
      </c>
      <c r="AB62" s="169">
        <v>3</v>
      </c>
      <c r="AC62" s="135">
        <v>2</v>
      </c>
      <c r="AD62" s="169">
        <v>880</v>
      </c>
      <c r="AE62" s="169">
        <v>0</v>
      </c>
      <c r="AF62" s="169">
        <v>0</v>
      </c>
      <c r="AH62" s="169"/>
      <c r="AI62" s="169"/>
      <c r="AJ62" s="169"/>
      <c r="AL62" s="169"/>
      <c r="AM62" s="169"/>
      <c r="AN62" s="169"/>
      <c r="AP62" s="169"/>
      <c r="AQ62" s="169"/>
      <c r="AR62" s="169"/>
      <c r="AT62" s="169"/>
      <c r="AU62" s="169"/>
      <c r="AV62" s="169"/>
      <c r="AX62" s="169"/>
      <c r="AY62" s="169"/>
      <c r="AZ62" s="169"/>
    </row>
    <row r="63" spans="1:52" x14ac:dyDescent="0.25">
      <c r="A63" s="113">
        <v>59</v>
      </c>
      <c r="B63" s="114" t="s">
        <v>298</v>
      </c>
      <c r="C63" s="114" t="s">
        <v>299</v>
      </c>
      <c r="D63" s="113" t="s">
        <v>69</v>
      </c>
      <c r="F63" s="114">
        <v>5800</v>
      </c>
      <c r="G63" s="114">
        <v>0</v>
      </c>
      <c r="H63" s="114">
        <v>0</v>
      </c>
      <c r="J63" s="114">
        <v>5150</v>
      </c>
      <c r="K63" s="114">
        <v>0</v>
      </c>
      <c r="L63" s="114">
        <v>0</v>
      </c>
      <c r="N63" s="114">
        <v>6400</v>
      </c>
      <c r="O63" s="114">
        <v>0</v>
      </c>
      <c r="P63" s="114">
        <v>0</v>
      </c>
      <c r="R63" s="114">
        <v>4700</v>
      </c>
      <c r="S63" s="114">
        <v>0</v>
      </c>
      <c r="T63" s="114">
        <v>0</v>
      </c>
      <c r="V63" s="114">
        <v>7200</v>
      </c>
      <c r="W63" s="114">
        <v>0</v>
      </c>
      <c r="X63" s="114">
        <v>0</v>
      </c>
      <c r="Z63" s="169">
        <v>5639</v>
      </c>
      <c r="AA63" s="169">
        <v>0</v>
      </c>
      <c r="AB63" s="169">
        <v>0</v>
      </c>
      <c r="AC63" s="135">
        <v>2</v>
      </c>
      <c r="AD63" s="169">
        <v>6800</v>
      </c>
      <c r="AE63" s="169">
        <v>0</v>
      </c>
      <c r="AF63" s="169">
        <v>0</v>
      </c>
      <c r="AH63" s="169"/>
      <c r="AI63" s="169"/>
      <c r="AJ63" s="169"/>
      <c r="AL63" s="169"/>
      <c r="AM63" s="169"/>
      <c r="AN63" s="169"/>
      <c r="AP63" s="169"/>
      <c r="AQ63" s="169"/>
      <c r="AR63" s="169"/>
      <c r="AT63" s="169"/>
      <c r="AU63" s="169"/>
      <c r="AV63" s="169"/>
      <c r="AX63" s="169"/>
      <c r="AY63" s="169"/>
      <c r="AZ63" s="169"/>
    </row>
    <row r="64" spans="1:52" x14ac:dyDescent="0.25">
      <c r="A64" s="113">
        <v>60</v>
      </c>
      <c r="B64" s="114" t="s">
        <v>300</v>
      </c>
      <c r="C64" s="114" t="s">
        <v>301</v>
      </c>
      <c r="D64" s="113" t="s">
        <v>69</v>
      </c>
      <c r="F64" s="114">
        <v>5065</v>
      </c>
      <c r="G64" s="114">
        <v>833</v>
      </c>
      <c r="H64" s="114">
        <v>2</v>
      </c>
      <c r="J64" s="114">
        <v>5724</v>
      </c>
      <c r="K64" s="114">
        <v>571</v>
      </c>
      <c r="L64" s="114">
        <v>1</v>
      </c>
      <c r="N64" s="114">
        <v>4224</v>
      </c>
      <c r="O64" s="114">
        <v>436</v>
      </c>
      <c r="P64" s="114">
        <v>0</v>
      </c>
      <c r="R64" s="114">
        <v>4761</v>
      </c>
      <c r="S64" s="114">
        <v>509</v>
      </c>
      <c r="T64" s="114">
        <v>0</v>
      </c>
      <c r="V64" s="114">
        <v>7516</v>
      </c>
      <c r="W64" s="114">
        <v>384</v>
      </c>
      <c r="X64" s="114">
        <v>0</v>
      </c>
      <c r="Z64" s="169">
        <v>5597</v>
      </c>
      <c r="AA64" s="169">
        <v>446</v>
      </c>
      <c r="AB64" s="169">
        <v>0</v>
      </c>
      <c r="AC64" s="135">
        <v>2</v>
      </c>
      <c r="AD64" s="169">
        <v>6762</v>
      </c>
      <c r="AE64" s="169">
        <v>322</v>
      </c>
      <c r="AF64" s="169">
        <v>0</v>
      </c>
      <c r="AH64" s="169"/>
      <c r="AI64" s="169"/>
      <c r="AJ64" s="169"/>
      <c r="AL64" s="169"/>
      <c r="AM64" s="169"/>
      <c r="AN64" s="169"/>
      <c r="AP64" s="169"/>
      <c r="AQ64" s="169"/>
      <c r="AR64" s="169"/>
      <c r="AT64" s="169"/>
      <c r="AU64" s="169"/>
      <c r="AV64" s="169"/>
      <c r="AX64" s="169"/>
      <c r="AY64" s="169"/>
      <c r="AZ64" s="169"/>
    </row>
    <row r="65" spans="1:52" x14ac:dyDescent="0.25">
      <c r="A65" s="113">
        <v>61</v>
      </c>
      <c r="B65" s="114" t="s">
        <v>302</v>
      </c>
      <c r="C65" s="114" t="s">
        <v>303</v>
      </c>
      <c r="D65" s="113" t="s">
        <v>69</v>
      </c>
      <c r="F65" s="114">
        <v>4500</v>
      </c>
      <c r="G65" s="114">
        <v>0</v>
      </c>
      <c r="H65" s="114">
        <v>0</v>
      </c>
      <c r="J65" s="114">
        <v>4615</v>
      </c>
      <c r="K65" s="114">
        <v>0</v>
      </c>
      <c r="L65" s="114">
        <v>0</v>
      </c>
      <c r="N65" s="114">
        <v>4480</v>
      </c>
      <c r="O65" s="114">
        <v>0</v>
      </c>
      <c r="P65" s="114">
        <v>0</v>
      </c>
      <c r="R65" s="114">
        <v>4600</v>
      </c>
      <c r="S65" s="114">
        <v>0</v>
      </c>
      <c r="T65" s="114">
        <v>0</v>
      </c>
      <c r="V65" s="114">
        <v>6300</v>
      </c>
      <c r="W65" s="114">
        <v>0</v>
      </c>
      <c r="X65" s="114">
        <v>0</v>
      </c>
      <c r="Z65" s="169">
        <v>5100</v>
      </c>
      <c r="AA65" s="169">
        <v>0</v>
      </c>
      <c r="AB65" s="169">
        <v>0</v>
      </c>
      <c r="AC65" s="135">
        <v>2</v>
      </c>
      <c r="AD65" s="169">
        <v>6300</v>
      </c>
      <c r="AE65" s="169">
        <v>0</v>
      </c>
      <c r="AF65" s="169">
        <v>0</v>
      </c>
      <c r="AH65" s="169"/>
      <c r="AI65" s="169"/>
      <c r="AJ65" s="169"/>
      <c r="AL65" s="169"/>
      <c r="AM65" s="169"/>
      <c r="AN65" s="169"/>
      <c r="AP65" s="169"/>
      <c r="AQ65" s="169"/>
      <c r="AR65" s="169"/>
      <c r="AT65" s="169"/>
      <c r="AU65" s="169"/>
      <c r="AV65" s="169"/>
      <c r="AX65" s="169"/>
      <c r="AY65" s="169"/>
      <c r="AZ65" s="169"/>
    </row>
    <row r="66" spans="1:52" x14ac:dyDescent="0.25">
      <c r="A66" s="113">
        <v>62</v>
      </c>
      <c r="B66" s="114" t="s">
        <v>304</v>
      </c>
      <c r="C66" s="114" t="s">
        <v>305</v>
      </c>
      <c r="D66" s="113" t="s">
        <v>69</v>
      </c>
      <c r="F66" s="114">
        <v>1125</v>
      </c>
      <c r="G66" s="114">
        <v>0</v>
      </c>
      <c r="H66" s="114">
        <v>0</v>
      </c>
      <c r="J66" s="114">
        <v>967</v>
      </c>
      <c r="K66" s="114">
        <v>0</v>
      </c>
      <c r="L66" s="114">
        <v>0</v>
      </c>
      <c r="N66" s="114">
        <v>1070</v>
      </c>
      <c r="O66" s="114">
        <v>0</v>
      </c>
      <c r="P66" s="114">
        <v>0</v>
      </c>
      <c r="R66" s="114">
        <v>1140</v>
      </c>
      <c r="S66" s="114">
        <v>0</v>
      </c>
      <c r="T66" s="114">
        <v>0</v>
      </c>
      <c r="V66" s="114">
        <v>1040</v>
      </c>
      <c r="W66" s="114">
        <v>0</v>
      </c>
      <c r="X66" s="114">
        <v>0</v>
      </c>
      <c r="Z66" s="169">
        <v>960</v>
      </c>
      <c r="AA66" s="169">
        <v>0</v>
      </c>
      <c r="AB66" s="169">
        <v>0</v>
      </c>
      <c r="AC66" s="135">
        <v>2</v>
      </c>
      <c r="AD66" s="169">
        <v>880</v>
      </c>
      <c r="AE66" s="169">
        <v>0</v>
      </c>
      <c r="AF66" s="169">
        <v>0</v>
      </c>
      <c r="AH66" s="169"/>
      <c r="AI66" s="169"/>
      <c r="AJ66" s="169"/>
      <c r="AL66" s="169"/>
      <c r="AM66" s="169"/>
      <c r="AN66" s="169"/>
      <c r="AP66" s="169"/>
      <c r="AQ66" s="169"/>
      <c r="AR66" s="169"/>
      <c r="AT66" s="169"/>
      <c r="AU66" s="169"/>
      <c r="AV66" s="169"/>
      <c r="AX66" s="169"/>
      <c r="AY66" s="169"/>
      <c r="AZ66" s="169"/>
    </row>
    <row r="67" spans="1:52" x14ac:dyDescent="0.25">
      <c r="A67" s="113">
        <v>63</v>
      </c>
      <c r="B67" s="114" t="s">
        <v>306</v>
      </c>
      <c r="C67" s="114" t="s">
        <v>307</v>
      </c>
      <c r="D67" s="113" t="s">
        <v>69</v>
      </c>
      <c r="F67" s="114">
        <v>10200</v>
      </c>
      <c r="G67" s="114">
        <v>0</v>
      </c>
      <c r="H67" s="114">
        <v>0</v>
      </c>
      <c r="J67" s="114">
        <v>8200</v>
      </c>
      <c r="K67" s="114">
        <v>0</v>
      </c>
      <c r="L67" s="114">
        <v>0</v>
      </c>
      <c r="N67" s="114">
        <v>9795</v>
      </c>
      <c r="O67" s="114">
        <v>5</v>
      </c>
      <c r="P67" s="114">
        <v>0</v>
      </c>
      <c r="R67" s="114">
        <v>5172</v>
      </c>
      <c r="S67" s="114">
        <v>28</v>
      </c>
      <c r="T67" s="114">
        <v>0</v>
      </c>
      <c r="V67" s="114">
        <v>8379</v>
      </c>
      <c r="W67" s="114">
        <v>21</v>
      </c>
      <c r="X67" s="114">
        <v>0</v>
      </c>
      <c r="Z67" s="169">
        <v>7000</v>
      </c>
      <c r="AA67" s="169">
        <v>0</v>
      </c>
      <c r="AB67" s="169">
        <v>0</v>
      </c>
      <c r="AC67" s="135">
        <v>2</v>
      </c>
      <c r="AD67" s="169">
        <v>8985</v>
      </c>
      <c r="AE67" s="169">
        <v>15</v>
      </c>
      <c r="AF67" s="169">
        <v>0</v>
      </c>
      <c r="AH67" s="169"/>
      <c r="AI67" s="169"/>
      <c r="AJ67" s="169"/>
      <c r="AL67" s="169"/>
      <c r="AM67" s="169"/>
      <c r="AN67" s="169"/>
      <c r="AP67" s="169"/>
      <c r="AQ67" s="169"/>
      <c r="AR67" s="169"/>
      <c r="AT67" s="169"/>
      <c r="AU67" s="169"/>
      <c r="AV67" s="169"/>
      <c r="AX67" s="169"/>
      <c r="AY67" s="169"/>
      <c r="AZ67" s="169"/>
    </row>
    <row r="68" spans="1:52" x14ac:dyDescent="0.25">
      <c r="A68" s="113">
        <v>64</v>
      </c>
      <c r="B68" s="114" t="s">
        <v>308</v>
      </c>
      <c r="C68" s="114" t="s">
        <v>309</v>
      </c>
      <c r="D68" s="113" t="s">
        <v>69</v>
      </c>
      <c r="E68" s="173"/>
      <c r="F68" s="114">
        <v>7600</v>
      </c>
      <c r="G68" s="114">
        <v>0</v>
      </c>
      <c r="H68" s="114">
        <v>0</v>
      </c>
      <c r="I68" s="173"/>
      <c r="J68" s="114">
        <v>7801</v>
      </c>
      <c r="K68" s="114">
        <v>0</v>
      </c>
      <c r="L68" s="114">
        <v>0</v>
      </c>
      <c r="M68" s="173"/>
      <c r="N68" s="114">
        <v>7300</v>
      </c>
      <c r="O68" s="114">
        <v>0</v>
      </c>
      <c r="P68" s="114">
        <v>0</v>
      </c>
      <c r="Q68" s="173"/>
      <c r="R68" s="114">
        <v>6000</v>
      </c>
      <c r="S68" s="114">
        <v>0</v>
      </c>
      <c r="T68" s="114">
        <v>0</v>
      </c>
      <c r="U68" s="173"/>
      <c r="V68" s="114">
        <v>9800</v>
      </c>
      <c r="W68" s="114">
        <v>0</v>
      </c>
      <c r="X68" s="114">
        <v>0</v>
      </c>
      <c r="Z68" s="169">
        <v>8100</v>
      </c>
      <c r="AA68" s="169">
        <v>0</v>
      </c>
      <c r="AB68" s="169">
        <v>0</v>
      </c>
      <c r="AC68" s="135">
        <v>2</v>
      </c>
      <c r="AD68" s="169">
        <v>9500</v>
      </c>
      <c r="AE68" s="169">
        <v>0</v>
      </c>
      <c r="AF68" s="169">
        <v>0</v>
      </c>
      <c r="AH68" s="169"/>
      <c r="AI68" s="169"/>
      <c r="AJ68" s="169"/>
      <c r="AL68" s="169"/>
      <c r="AM68" s="169"/>
      <c r="AN68" s="169"/>
      <c r="AP68" s="169"/>
      <c r="AQ68" s="169"/>
      <c r="AR68" s="169"/>
      <c r="AT68" s="169"/>
      <c r="AU68" s="169"/>
      <c r="AV68" s="169"/>
      <c r="AX68" s="169"/>
      <c r="AY68" s="169"/>
      <c r="AZ68" s="169"/>
    </row>
    <row r="69" spans="1:52" x14ac:dyDescent="0.25">
      <c r="A69" s="113">
        <v>65</v>
      </c>
      <c r="B69" s="114" t="s">
        <v>310</v>
      </c>
      <c r="C69" s="114" t="s">
        <v>311</v>
      </c>
      <c r="D69" s="113" t="s">
        <v>69</v>
      </c>
      <c r="F69" s="115">
        <v>1300</v>
      </c>
      <c r="G69" s="115">
        <v>0</v>
      </c>
      <c r="H69" s="115">
        <v>0</v>
      </c>
      <c r="J69" s="115">
        <v>100</v>
      </c>
      <c r="K69" s="115">
        <v>0</v>
      </c>
      <c r="L69" s="115">
        <v>0</v>
      </c>
      <c r="N69" s="115"/>
      <c r="O69" s="115"/>
      <c r="P69" s="115"/>
      <c r="R69" s="115"/>
      <c r="S69" s="115"/>
      <c r="T69" s="115"/>
      <c r="V69" s="115"/>
      <c r="W69" s="115"/>
      <c r="X69" s="115"/>
      <c r="Z69" s="169"/>
      <c r="AA69" s="169"/>
      <c r="AB69" s="169"/>
      <c r="AC69" s="135">
        <v>2</v>
      </c>
      <c r="AD69" s="169"/>
      <c r="AE69" s="169"/>
      <c r="AF69" s="169"/>
      <c r="AH69" s="169"/>
      <c r="AI69" s="169"/>
      <c r="AJ69" s="169"/>
      <c r="AL69" s="169"/>
      <c r="AM69" s="169"/>
      <c r="AN69" s="169"/>
      <c r="AP69" s="169"/>
      <c r="AQ69" s="169"/>
      <c r="AR69" s="169"/>
      <c r="AT69" s="169"/>
      <c r="AU69" s="169"/>
      <c r="AV69" s="169"/>
      <c r="AX69" s="169"/>
      <c r="AY69" s="169"/>
      <c r="AZ69" s="169"/>
    </row>
    <row r="70" spans="1:52" x14ac:dyDescent="0.25">
      <c r="A70" s="113">
        <v>66</v>
      </c>
      <c r="B70" s="114" t="s">
        <v>312</v>
      </c>
      <c r="C70" s="114" t="s">
        <v>313</v>
      </c>
      <c r="D70" s="113" t="s">
        <v>69</v>
      </c>
      <c r="E70" s="173"/>
      <c r="F70" s="114">
        <v>6124</v>
      </c>
      <c r="G70" s="114">
        <v>0</v>
      </c>
      <c r="H70" s="114">
        <v>0</v>
      </c>
      <c r="I70" s="173"/>
      <c r="J70" s="114">
        <v>7100</v>
      </c>
      <c r="K70" s="114">
        <v>0</v>
      </c>
      <c r="L70" s="114">
        <v>0</v>
      </c>
      <c r="M70" s="173"/>
      <c r="N70" s="114">
        <v>5200</v>
      </c>
      <c r="O70" s="114">
        <v>0</v>
      </c>
      <c r="P70" s="114">
        <v>0</v>
      </c>
      <c r="Q70" s="173"/>
      <c r="R70" s="114">
        <v>3700</v>
      </c>
      <c r="S70" s="114">
        <v>0</v>
      </c>
      <c r="T70" s="114">
        <v>0</v>
      </c>
      <c r="U70" s="173"/>
      <c r="V70" s="114">
        <v>7400</v>
      </c>
      <c r="W70" s="114">
        <v>0</v>
      </c>
      <c r="X70" s="114">
        <v>0</v>
      </c>
      <c r="Z70" s="169">
        <v>5100</v>
      </c>
      <c r="AA70" s="169">
        <v>0</v>
      </c>
      <c r="AB70" s="169">
        <v>0</v>
      </c>
      <c r="AC70" s="135">
        <v>2</v>
      </c>
      <c r="AD70" s="169">
        <v>7600</v>
      </c>
      <c r="AE70" s="169">
        <v>0</v>
      </c>
      <c r="AF70" s="169">
        <v>0</v>
      </c>
      <c r="AH70" s="169"/>
      <c r="AI70" s="169"/>
      <c r="AJ70" s="169"/>
      <c r="AL70" s="169"/>
      <c r="AM70" s="169"/>
      <c r="AN70" s="169"/>
      <c r="AP70" s="169"/>
      <c r="AQ70" s="169"/>
      <c r="AR70" s="169"/>
      <c r="AT70" s="169"/>
      <c r="AU70" s="169"/>
      <c r="AV70" s="169"/>
      <c r="AX70" s="169"/>
      <c r="AY70" s="169"/>
      <c r="AZ70" s="169"/>
    </row>
    <row r="71" spans="1:52" x14ac:dyDescent="0.25">
      <c r="A71" s="113">
        <v>67</v>
      </c>
      <c r="B71" s="114" t="s">
        <v>314</v>
      </c>
      <c r="C71" s="114" t="s">
        <v>315</v>
      </c>
      <c r="D71" s="113" t="s">
        <v>69</v>
      </c>
      <c r="E71" s="173"/>
      <c r="F71" s="114">
        <v>200</v>
      </c>
      <c r="G71" s="114">
        <v>0</v>
      </c>
      <c r="H71" s="114">
        <v>0</v>
      </c>
      <c r="I71" s="173"/>
      <c r="J71" s="114"/>
      <c r="K71" s="114"/>
      <c r="L71" s="114"/>
      <c r="M71" s="173"/>
      <c r="N71" s="114">
        <v>400</v>
      </c>
      <c r="O71" s="114">
        <v>0</v>
      </c>
      <c r="P71" s="114">
        <v>0</v>
      </c>
      <c r="Q71" s="173"/>
      <c r="R71" s="114"/>
      <c r="S71" s="114"/>
      <c r="T71" s="114"/>
      <c r="U71" s="173"/>
      <c r="V71" s="114">
        <v>1000</v>
      </c>
      <c r="W71" s="114">
        <v>0</v>
      </c>
      <c r="X71" s="114">
        <v>0</v>
      </c>
      <c r="Z71" s="169">
        <v>900</v>
      </c>
      <c r="AA71" s="169">
        <v>0</v>
      </c>
      <c r="AB71" s="169">
        <v>0</v>
      </c>
      <c r="AC71" s="135">
        <v>2</v>
      </c>
      <c r="AD71" s="169">
        <v>900</v>
      </c>
      <c r="AE71" s="169">
        <v>0</v>
      </c>
      <c r="AF71" s="169">
        <v>0</v>
      </c>
      <c r="AH71" s="169"/>
      <c r="AI71" s="169"/>
      <c r="AJ71" s="169"/>
      <c r="AL71" s="169"/>
      <c r="AM71" s="169"/>
      <c r="AN71" s="169"/>
      <c r="AP71" s="169"/>
      <c r="AQ71" s="169"/>
      <c r="AR71" s="169"/>
      <c r="AT71" s="169"/>
      <c r="AU71" s="169"/>
      <c r="AV71" s="169"/>
      <c r="AX71" s="169"/>
      <c r="AY71" s="169"/>
      <c r="AZ71" s="169"/>
    </row>
    <row r="72" spans="1:52" x14ac:dyDescent="0.25">
      <c r="A72" s="113">
        <v>68</v>
      </c>
      <c r="B72" s="114" t="s">
        <v>316</v>
      </c>
      <c r="C72" s="114" t="s">
        <v>317</v>
      </c>
      <c r="D72" s="113" t="s">
        <v>69</v>
      </c>
      <c r="E72" s="173"/>
      <c r="F72" s="114">
        <v>6124</v>
      </c>
      <c r="G72" s="114">
        <v>0</v>
      </c>
      <c r="H72" s="114">
        <v>0</v>
      </c>
      <c r="I72" s="173"/>
      <c r="J72" s="114">
        <v>7100</v>
      </c>
      <c r="K72" s="114">
        <v>0</v>
      </c>
      <c r="L72" s="114">
        <v>0</v>
      </c>
      <c r="M72" s="173"/>
      <c r="N72" s="114">
        <v>5200</v>
      </c>
      <c r="O72" s="114">
        <v>0</v>
      </c>
      <c r="P72" s="114">
        <v>0</v>
      </c>
      <c r="Q72" s="173"/>
      <c r="R72" s="114">
        <v>3700</v>
      </c>
      <c r="S72" s="114">
        <v>0</v>
      </c>
      <c r="T72" s="114">
        <v>0</v>
      </c>
      <c r="U72" s="173"/>
      <c r="V72" s="114">
        <v>7400</v>
      </c>
      <c r="W72" s="114">
        <v>0</v>
      </c>
      <c r="X72" s="114">
        <v>0</v>
      </c>
      <c r="Z72" s="169">
        <v>5100</v>
      </c>
      <c r="AA72" s="169">
        <v>0</v>
      </c>
      <c r="AB72" s="169">
        <v>0</v>
      </c>
      <c r="AC72" s="135">
        <v>2</v>
      </c>
      <c r="AD72" s="169">
        <v>7000</v>
      </c>
      <c r="AE72" s="169">
        <v>0</v>
      </c>
      <c r="AF72" s="169">
        <v>0</v>
      </c>
      <c r="AH72" s="169"/>
      <c r="AI72" s="169"/>
      <c r="AJ72" s="169"/>
      <c r="AL72" s="169"/>
      <c r="AM72" s="169"/>
      <c r="AN72" s="169"/>
      <c r="AP72" s="169"/>
      <c r="AQ72" s="169"/>
      <c r="AR72" s="169"/>
      <c r="AT72" s="169"/>
      <c r="AU72" s="169"/>
      <c r="AV72" s="169"/>
      <c r="AX72" s="169"/>
      <c r="AY72" s="169"/>
      <c r="AZ72" s="169"/>
    </row>
    <row r="73" spans="1:52" x14ac:dyDescent="0.25">
      <c r="A73" s="113">
        <v>69</v>
      </c>
      <c r="B73" s="114" t="s">
        <v>318</v>
      </c>
      <c r="C73" s="114" t="s">
        <v>319</v>
      </c>
      <c r="D73" s="113" t="s">
        <v>69</v>
      </c>
      <c r="E73" s="173"/>
      <c r="F73" s="114">
        <v>200</v>
      </c>
      <c r="G73" s="114">
        <v>0</v>
      </c>
      <c r="H73" s="114">
        <v>0</v>
      </c>
      <c r="I73" s="173"/>
      <c r="J73" s="114"/>
      <c r="K73" s="114"/>
      <c r="L73" s="114"/>
      <c r="M73" s="173"/>
      <c r="N73" s="114">
        <v>400</v>
      </c>
      <c r="O73" s="114">
        <v>0</v>
      </c>
      <c r="P73" s="114">
        <v>0</v>
      </c>
      <c r="Q73" s="173"/>
      <c r="R73" s="114"/>
      <c r="S73" s="114"/>
      <c r="T73" s="114"/>
      <c r="U73" s="173"/>
      <c r="V73" s="114">
        <v>1000</v>
      </c>
      <c r="W73" s="114">
        <v>0</v>
      </c>
      <c r="X73" s="114">
        <v>0</v>
      </c>
      <c r="Z73" s="169">
        <v>900</v>
      </c>
      <c r="AA73" s="169">
        <v>0</v>
      </c>
      <c r="AB73" s="169">
        <v>0</v>
      </c>
      <c r="AC73" s="135">
        <v>2</v>
      </c>
      <c r="AD73" s="169">
        <v>1400</v>
      </c>
      <c r="AE73" s="169">
        <v>0</v>
      </c>
      <c r="AF73" s="169">
        <v>0</v>
      </c>
      <c r="AH73" s="169"/>
      <c r="AI73" s="169"/>
      <c r="AJ73" s="169"/>
      <c r="AL73" s="169"/>
      <c r="AM73" s="169"/>
      <c r="AN73" s="169"/>
      <c r="AP73" s="169"/>
      <c r="AQ73" s="169"/>
      <c r="AR73" s="169"/>
      <c r="AT73" s="169"/>
      <c r="AU73" s="169"/>
      <c r="AV73" s="169"/>
      <c r="AX73" s="169"/>
      <c r="AY73" s="169"/>
      <c r="AZ73" s="169"/>
    </row>
    <row r="74" spans="1:52" s="54" customFormat="1" x14ac:dyDescent="0.25">
      <c r="A74" s="113">
        <v>70</v>
      </c>
      <c r="B74" s="140" t="s">
        <v>544</v>
      </c>
      <c r="C74" s="141" t="s">
        <v>545</v>
      </c>
      <c r="D74" s="113" t="s">
        <v>69</v>
      </c>
      <c r="E74" s="127"/>
      <c r="F74" s="142"/>
      <c r="G74" s="142"/>
      <c r="H74" s="142"/>
      <c r="I74" s="127"/>
      <c r="J74" s="142"/>
      <c r="K74" s="142"/>
      <c r="L74" s="142"/>
      <c r="M74" s="127"/>
      <c r="N74" s="142"/>
      <c r="O74" s="142"/>
      <c r="P74" s="142"/>
      <c r="Q74" s="127"/>
      <c r="R74" s="142"/>
      <c r="S74" s="142"/>
      <c r="T74" s="142"/>
      <c r="U74" s="138"/>
      <c r="V74" s="142">
        <v>24</v>
      </c>
      <c r="W74" s="142">
        <v>0</v>
      </c>
      <c r="X74" s="142">
        <v>0</v>
      </c>
      <c r="Z74" s="169">
        <v>48</v>
      </c>
      <c r="AA74" s="169">
        <v>0</v>
      </c>
      <c r="AB74" s="169">
        <v>0</v>
      </c>
      <c r="AC74" s="135">
        <v>2</v>
      </c>
      <c r="AD74" s="169">
        <v>24</v>
      </c>
      <c r="AE74" s="169">
        <v>0</v>
      </c>
      <c r="AF74" s="169">
        <v>0</v>
      </c>
      <c r="AH74" s="169"/>
      <c r="AI74" s="169"/>
      <c r="AJ74" s="169"/>
      <c r="AL74" s="169"/>
      <c r="AM74" s="169"/>
      <c r="AN74" s="169"/>
      <c r="AP74" s="169"/>
      <c r="AQ74" s="169"/>
      <c r="AR74" s="169"/>
      <c r="AT74" s="169"/>
      <c r="AU74" s="169"/>
      <c r="AV74" s="169"/>
      <c r="AX74" s="169"/>
      <c r="AY74" s="169"/>
      <c r="AZ74" s="169"/>
    </row>
    <row r="75" spans="1:52" x14ac:dyDescent="0.25">
      <c r="A75" s="113">
        <v>71</v>
      </c>
      <c r="B75" s="114" t="s">
        <v>320</v>
      </c>
      <c r="C75" s="114" t="s">
        <v>321</v>
      </c>
      <c r="D75" s="113" t="s">
        <v>69</v>
      </c>
      <c r="E75" s="173"/>
      <c r="F75" s="114">
        <v>5700</v>
      </c>
      <c r="G75" s="114">
        <v>0</v>
      </c>
      <c r="H75" s="114">
        <v>5</v>
      </c>
      <c r="I75" s="173"/>
      <c r="J75" s="114">
        <v>5940</v>
      </c>
      <c r="K75" s="114">
        <v>0</v>
      </c>
      <c r="L75" s="114">
        <v>0</v>
      </c>
      <c r="M75" s="173"/>
      <c r="N75" s="114">
        <v>4800</v>
      </c>
      <c r="O75" s="114">
        <v>0</v>
      </c>
      <c r="P75" s="114">
        <v>0</v>
      </c>
      <c r="Q75" s="173"/>
      <c r="R75" s="114">
        <v>3930</v>
      </c>
      <c r="S75" s="114">
        <v>0</v>
      </c>
      <c r="T75" s="114">
        <v>0</v>
      </c>
      <c r="U75" s="173"/>
      <c r="V75" s="114">
        <v>5070</v>
      </c>
      <c r="W75" s="114">
        <v>0</v>
      </c>
      <c r="X75" s="114">
        <v>0</v>
      </c>
      <c r="Z75" s="169">
        <v>5800</v>
      </c>
      <c r="AA75" s="169">
        <v>0</v>
      </c>
      <c r="AB75" s="169">
        <v>0</v>
      </c>
      <c r="AC75" s="135">
        <v>2</v>
      </c>
      <c r="AD75" s="169">
        <v>4350</v>
      </c>
      <c r="AE75" s="169">
        <v>0</v>
      </c>
      <c r="AF75" s="169">
        <v>0</v>
      </c>
      <c r="AH75" s="169"/>
      <c r="AI75" s="169"/>
      <c r="AJ75" s="169"/>
      <c r="AL75" s="169"/>
      <c r="AM75" s="169"/>
      <c r="AN75" s="169"/>
      <c r="AP75" s="169"/>
      <c r="AQ75" s="169"/>
      <c r="AR75" s="169"/>
      <c r="AT75" s="169"/>
      <c r="AU75" s="169"/>
      <c r="AV75" s="169"/>
      <c r="AX75" s="169"/>
      <c r="AY75" s="169"/>
      <c r="AZ75" s="169"/>
    </row>
    <row r="76" spans="1:52" x14ac:dyDescent="0.25">
      <c r="A76" s="113">
        <v>72</v>
      </c>
      <c r="B76" s="125" t="s">
        <v>516</v>
      </c>
      <c r="C76" s="125" t="s">
        <v>515</v>
      </c>
      <c r="D76" s="113" t="s">
        <v>69</v>
      </c>
      <c r="E76" s="173"/>
      <c r="F76" s="115"/>
      <c r="G76" s="115"/>
      <c r="H76" s="115"/>
      <c r="I76" s="173"/>
      <c r="J76" s="115"/>
      <c r="K76" s="115"/>
      <c r="L76" s="115"/>
      <c r="M76" s="173"/>
      <c r="N76" s="115">
        <v>200</v>
      </c>
      <c r="O76" s="115">
        <v>0</v>
      </c>
      <c r="P76" s="115">
        <v>0</v>
      </c>
      <c r="Q76" s="173"/>
      <c r="R76" s="115">
        <v>100</v>
      </c>
      <c r="S76" s="115">
        <v>0</v>
      </c>
      <c r="T76" s="115">
        <v>0</v>
      </c>
      <c r="U76" s="173"/>
      <c r="V76" s="115"/>
      <c r="W76" s="115"/>
      <c r="X76" s="115"/>
      <c r="Z76" s="169">
        <v>100</v>
      </c>
      <c r="AA76" s="169">
        <v>0</v>
      </c>
      <c r="AB76" s="169">
        <v>0</v>
      </c>
      <c r="AC76" s="135">
        <v>2</v>
      </c>
      <c r="AD76" s="169">
        <v>600</v>
      </c>
      <c r="AE76" s="169">
        <v>0</v>
      </c>
      <c r="AF76" s="169">
        <v>0</v>
      </c>
      <c r="AH76" s="169"/>
      <c r="AI76" s="169"/>
      <c r="AJ76" s="169"/>
      <c r="AL76" s="169"/>
      <c r="AM76" s="169"/>
      <c r="AN76" s="169"/>
      <c r="AP76" s="169"/>
      <c r="AQ76" s="169"/>
      <c r="AR76" s="169"/>
      <c r="AT76" s="169"/>
      <c r="AU76" s="169"/>
      <c r="AV76" s="169"/>
      <c r="AX76" s="169"/>
      <c r="AY76" s="169"/>
      <c r="AZ76" s="169"/>
    </row>
    <row r="77" spans="1:52" s="54" customFormat="1" x14ac:dyDescent="0.25">
      <c r="A77" s="113">
        <v>73</v>
      </c>
      <c r="B77" s="140" t="s">
        <v>103</v>
      </c>
      <c r="C77" s="141" t="s">
        <v>104</v>
      </c>
      <c r="D77" s="113" t="s">
        <v>69</v>
      </c>
      <c r="E77" s="127"/>
      <c r="F77" s="142"/>
      <c r="G77" s="142"/>
      <c r="H77" s="142"/>
      <c r="I77" s="127"/>
      <c r="J77" s="142"/>
      <c r="K77" s="142"/>
      <c r="L77" s="142"/>
      <c r="M77" s="127"/>
      <c r="N77" s="142"/>
      <c r="O77" s="142"/>
      <c r="P77" s="142"/>
      <c r="Q77" s="127"/>
      <c r="R77" s="142"/>
      <c r="S77" s="142"/>
      <c r="T77" s="142"/>
      <c r="U77" s="138"/>
      <c r="V77" s="142"/>
      <c r="W77" s="142"/>
      <c r="X77" s="142"/>
      <c r="Z77" s="169">
        <v>12190</v>
      </c>
      <c r="AA77" s="169">
        <v>0</v>
      </c>
      <c r="AB77" s="169">
        <v>0</v>
      </c>
      <c r="AC77" s="135"/>
      <c r="AD77" s="169">
        <v>13497</v>
      </c>
      <c r="AE77" s="169">
        <v>0</v>
      </c>
      <c r="AF77" s="169">
        <v>0</v>
      </c>
      <c r="AH77" s="169"/>
      <c r="AI77" s="169"/>
      <c r="AJ77" s="169"/>
      <c r="AL77" s="169"/>
      <c r="AM77" s="169"/>
      <c r="AN77" s="169"/>
      <c r="AP77" s="169"/>
      <c r="AQ77" s="169"/>
      <c r="AR77" s="169"/>
      <c r="AT77" s="169"/>
      <c r="AU77" s="169"/>
      <c r="AV77" s="169"/>
      <c r="AX77" s="169"/>
      <c r="AY77" s="169"/>
      <c r="AZ77" s="169"/>
    </row>
    <row r="78" spans="1:52" s="54" customFormat="1" x14ac:dyDescent="0.25">
      <c r="A78" s="113">
        <v>74</v>
      </c>
      <c r="B78" s="140" t="s">
        <v>624</v>
      </c>
      <c r="C78" s="141" t="s">
        <v>625</v>
      </c>
      <c r="D78" s="113" t="s">
        <v>69</v>
      </c>
      <c r="E78" s="127"/>
      <c r="F78" s="142"/>
      <c r="G78" s="142"/>
      <c r="H78" s="142"/>
      <c r="I78" s="127"/>
      <c r="J78" s="142"/>
      <c r="K78" s="142"/>
      <c r="L78" s="142"/>
      <c r="M78" s="127"/>
      <c r="N78" s="142"/>
      <c r="O78" s="142"/>
      <c r="P78" s="142"/>
      <c r="Q78" s="127"/>
      <c r="R78" s="142"/>
      <c r="S78" s="142"/>
      <c r="T78" s="142"/>
      <c r="U78" s="138"/>
      <c r="V78" s="142"/>
      <c r="W78" s="142"/>
      <c r="X78" s="142"/>
      <c r="Z78" s="169">
        <v>10</v>
      </c>
      <c r="AA78" s="169">
        <v>0</v>
      </c>
      <c r="AB78" s="169">
        <v>0</v>
      </c>
      <c r="AC78" s="135"/>
      <c r="AD78" s="169"/>
      <c r="AE78" s="169"/>
      <c r="AF78" s="169"/>
      <c r="AH78" s="169"/>
      <c r="AI78" s="169"/>
      <c r="AJ78" s="169"/>
      <c r="AL78" s="169"/>
      <c r="AM78" s="169"/>
      <c r="AN78" s="169"/>
      <c r="AP78" s="169"/>
      <c r="AQ78" s="169"/>
      <c r="AR78" s="169"/>
      <c r="AT78" s="169"/>
      <c r="AU78" s="169"/>
      <c r="AV78" s="169"/>
      <c r="AX78" s="169"/>
      <c r="AY78" s="169"/>
      <c r="AZ78" s="169"/>
    </row>
    <row r="79" spans="1:52" s="54" customFormat="1" x14ac:dyDescent="0.25">
      <c r="A79" s="113">
        <v>75</v>
      </c>
      <c r="B79" s="140" t="s">
        <v>626</v>
      </c>
      <c r="C79" s="141" t="s">
        <v>627</v>
      </c>
      <c r="D79" s="113" t="s">
        <v>69</v>
      </c>
      <c r="E79" s="127"/>
      <c r="F79" s="142"/>
      <c r="G79" s="142"/>
      <c r="H79" s="142"/>
      <c r="I79" s="127"/>
      <c r="J79" s="142"/>
      <c r="K79" s="142"/>
      <c r="L79" s="142"/>
      <c r="M79" s="127"/>
      <c r="N79" s="142"/>
      <c r="O79" s="142"/>
      <c r="P79" s="142"/>
      <c r="Q79" s="127"/>
      <c r="R79" s="142"/>
      <c r="S79" s="142"/>
      <c r="T79" s="142"/>
      <c r="U79" s="138"/>
      <c r="V79" s="142"/>
      <c r="W79" s="142"/>
      <c r="X79" s="142"/>
      <c r="Z79" s="169">
        <v>540</v>
      </c>
      <c r="AA79" s="169">
        <v>0</v>
      </c>
      <c r="AB79" s="169">
        <v>0</v>
      </c>
      <c r="AC79" s="135"/>
      <c r="AD79" s="169">
        <v>2150</v>
      </c>
      <c r="AE79" s="169">
        <v>0</v>
      </c>
      <c r="AF79" s="169">
        <v>0</v>
      </c>
      <c r="AH79" s="169"/>
      <c r="AI79" s="169"/>
      <c r="AJ79" s="169"/>
      <c r="AL79" s="169"/>
      <c r="AM79" s="169"/>
      <c r="AN79" s="169"/>
      <c r="AP79" s="169"/>
      <c r="AQ79" s="169"/>
      <c r="AR79" s="169"/>
      <c r="AT79" s="169"/>
      <c r="AU79" s="169"/>
      <c r="AV79" s="169"/>
      <c r="AX79" s="169"/>
      <c r="AY79" s="169"/>
      <c r="AZ79" s="169"/>
    </row>
    <row r="80" spans="1:52" s="54" customFormat="1" x14ac:dyDescent="0.25">
      <c r="A80" s="113">
        <v>76</v>
      </c>
      <c r="B80" s="140" t="s">
        <v>628</v>
      </c>
      <c r="C80" s="141" t="s">
        <v>629</v>
      </c>
      <c r="D80" s="113" t="s">
        <v>69</v>
      </c>
      <c r="E80" s="127"/>
      <c r="F80" s="142"/>
      <c r="G80" s="142"/>
      <c r="H80" s="142"/>
      <c r="I80" s="127"/>
      <c r="J80" s="142"/>
      <c r="K80" s="142"/>
      <c r="L80" s="142"/>
      <c r="M80" s="127"/>
      <c r="N80" s="142"/>
      <c r="O80" s="142"/>
      <c r="P80" s="142"/>
      <c r="Q80" s="127"/>
      <c r="R80" s="142"/>
      <c r="S80" s="142"/>
      <c r="T80" s="142"/>
      <c r="U80" s="138"/>
      <c r="V80" s="142"/>
      <c r="W80" s="142"/>
      <c r="X80" s="142"/>
      <c r="Z80" s="169">
        <v>500</v>
      </c>
      <c r="AA80" s="169">
        <v>0</v>
      </c>
      <c r="AB80" s="169">
        <v>0</v>
      </c>
      <c r="AC80" s="135"/>
      <c r="AD80" s="169">
        <v>2050</v>
      </c>
      <c r="AE80" s="169">
        <v>0</v>
      </c>
      <c r="AF80" s="169">
        <v>0</v>
      </c>
      <c r="AH80" s="169"/>
      <c r="AI80" s="169"/>
      <c r="AJ80" s="169"/>
      <c r="AL80" s="169"/>
      <c r="AM80" s="169"/>
      <c r="AN80" s="169"/>
      <c r="AP80" s="169"/>
      <c r="AQ80" s="169"/>
      <c r="AR80" s="169"/>
      <c r="AT80" s="169"/>
      <c r="AU80" s="169"/>
      <c r="AV80" s="169"/>
      <c r="AX80" s="169"/>
      <c r="AY80" s="169"/>
      <c r="AZ80" s="169"/>
    </row>
    <row r="81" spans="1:256" s="54" customFormat="1" x14ac:dyDescent="0.25">
      <c r="A81" s="113">
        <v>77</v>
      </c>
      <c r="B81" s="140" t="s">
        <v>630</v>
      </c>
      <c r="C81" s="141" t="s">
        <v>631</v>
      </c>
      <c r="D81" s="113" t="s">
        <v>69</v>
      </c>
      <c r="E81" s="127"/>
      <c r="F81" s="142"/>
      <c r="G81" s="142"/>
      <c r="H81" s="142"/>
      <c r="I81" s="127"/>
      <c r="J81" s="142"/>
      <c r="K81" s="142"/>
      <c r="L81" s="142"/>
      <c r="M81" s="127"/>
      <c r="N81" s="142"/>
      <c r="O81" s="142"/>
      <c r="P81" s="142"/>
      <c r="Q81" s="127"/>
      <c r="R81" s="142"/>
      <c r="S81" s="142"/>
      <c r="T81" s="142"/>
      <c r="U81" s="138"/>
      <c r="V81" s="142"/>
      <c r="W81" s="142"/>
      <c r="X81" s="142"/>
      <c r="Z81" s="169">
        <v>90</v>
      </c>
      <c r="AA81" s="169">
        <v>0</v>
      </c>
      <c r="AB81" s="169">
        <v>0</v>
      </c>
      <c r="AC81" s="135"/>
      <c r="AD81" s="169">
        <v>100</v>
      </c>
      <c r="AE81" s="169">
        <v>0</v>
      </c>
      <c r="AF81" s="169">
        <v>0</v>
      </c>
      <c r="AH81" s="169"/>
      <c r="AI81" s="169"/>
      <c r="AJ81" s="169"/>
      <c r="AL81" s="169"/>
      <c r="AM81" s="169"/>
      <c r="AN81" s="169"/>
      <c r="AP81" s="169"/>
      <c r="AQ81" s="169"/>
      <c r="AR81" s="169"/>
      <c r="AT81" s="169"/>
      <c r="AU81" s="169"/>
      <c r="AV81" s="169"/>
      <c r="AX81" s="169"/>
      <c r="AY81" s="169"/>
      <c r="AZ81" s="169"/>
    </row>
    <row r="82" spans="1:256" x14ac:dyDescent="0.25">
      <c r="A82" s="113">
        <v>78</v>
      </c>
      <c r="B82" s="114" t="s">
        <v>322</v>
      </c>
      <c r="C82" s="114" t="s">
        <v>323</v>
      </c>
      <c r="D82" s="113" t="s">
        <v>69</v>
      </c>
      <c r="E82" s="173"/>
      <c r="F82" s="114">
        <v>6166</v>
      </c>
      <c r="G82" s="114">
        <v>0</v>
      </c>
      <c r="H82" s="114">
        <v>15</v>
      </c>
      <c r="I82" s="173"/>
      <c r="J82" s="114">
        <v>5850</v>
      </c>
      <c r="K82" s="114">
        <v>0</v>
      </c>
      <c r="L82" s="114">
        <v>0</v>
      </c>
      <c r="M82" s="173"/>
      <c r="N82" s="114">
        <v>4470</v>
      </c>
      <c r="O82" s="114">
        <v>0</v>
      </c>
      <c r="P82" s="114">
        <v>0</v>
      </c>
      <c r="Q82" s="173"/>
      <c r="R82" s="114">
        <v>3900</v>
      </c>
      <c r="S82" s="114">
        <v>0</v>
      </c>
      <c r="T82" s="114">
        <v>0</v>
      </c>
      <c r="U82" s="173"/>
      <c r="V82" s="114">
        <v>5250</v>
      </c>
      <c r="W82" s="114">
        <v>0</v>
      </c>
      <c r="X82" s="114">
        <v>0</v>
      </c>
      <c r="Z82" s="169">
        <v>5700</v>
      </c>
      <c r="AA82" s="169">
        <v>0</v>
      </c>
      <c r="AB82" s="169">
        <v>0</v>
      </c>
      <c r="AC82" s="135">
        <v>2</v>
      </c>
      <c r="AD82" s="169">
        <v>4800</v>
      </c>
      <c r="AE82" s="169">
        <v>0</v>
      </c>
      <c r="AF82" s="169">
        <v>0</v>
      </c>
      <c r="AH82" s="169"/>
      <c r="AI82" s="169"/>
      <c r="AJ82" s="169"/>
      <c r="AL82" s="169"/>
      <c r="AM82" s="169"/>
      <c r="AN82" s="169"/>
      <c r="AP82" s="169"/>
      <c r="AQ82" s="169"/>
      <c r="AR82" s="169"/>
      <c r="AT82" s="169"/>
      <c r="AU82" s="169"/>
      <c r="AV82" s="169"/>
      <c r="AX82" s="169"/>
      <c r="AY82" s="169"/>
      <c r="AZ82" s="169"/>
    </row>
    <row r="83" spans="1:256" x14ac:dyDescent="0.25">
      <c r="A83" s="113">
        <v>79</v>
      </c>
      <c r="B83" s="114" t="s">
        <v>659</v>
      </c>
      <c r="C83" s="114" t="s">
        <v>660</v>
      </c>
      <c r="D83" s="113" t="s">
        <v>69</v>
      </c>
      <c r="E83" s="173"/>
      <c r="F83" s="114"/>
      <c r="G83" s="114"/>
      <c r="H83" s="114"/>
      <c r="I83" s="173"/>
      <c r="J83" s="114"/>
      <c r="K83" s="114"/>
      <c r="L83" s="114"/>
      <c r="M83" s="173"/>
      <c r="N83" s="114"/>
      <c r="O83" s="114"/>
      <c r="P83" s="114"/>
      <c r="Q83" s="173"/>
      <c r="R83" s="114"/>
      <c r="S83" s="114"/>
      <c r="T83" s="114"/>
      <c r="U83" s="173"/>
      <c r="V83" s="114"/>
      <c r="W83" s="114"/>
      <c r="X83" s="114"/>
      <c r="Z83" s="169"/>
      <c r="AA83" s="169"/>
      <c r="AB83" s="169"/>
      <c r="AD83" s="169">
        <v>1320</v>
      </c>
      <c r="AE83" s="169">
        <v>0</v>
      </c>
      <c r="AF83" s="169">
        <v>0</v>
      </c>
      <c r="AH83" s="169"/>
      <c r="AI83" s="169"/>
      <c r="AJ83" s="169"/>
      <c r="AL83" s="169"/>
      <c r="AM83" s="169"/>
      <c r="AN83" s="169"/>
      <c r="AP83" s="169"/>
      <c r="AQ83" s="169"/>
      <c r="AR83" s="169"/>
      <c r="AT83" s="169"/>
      <c r="AU83" s="169"/>
      <c r="AV83" s="169"/>
      <c r="AX83" s="169"/>
      <c r="AY83" s="169"/>
      <c r="AZ83" s="169"/>
    </row>
    <row r="84" spans="1:256" x14ac:dyDescent="0.25">
      <c r="A84" s="113">
        <v>80</v>
      </c>
      <c r="B84" s="114" t="s">
        <v>653</v>
      </c>
      <c r="C84" s="114" t="s">
        <v>654</v>
      </c>
      <c r="D84" s="113" t="s">
        <v>69</v>
      </c>
      <c r="E84" s="173"/>
      <c r="F84" s="114"/>
      <c r="G84" s="114"/>
      <c r="H84" s="114"/>
      <c r="I84" s="173"/>
      <c r="J84" s="114"/>
      <c r="K84" s="114"/>
      <c r="L84" s="114"/>
      <c r="M84" s="173"/>
      <c r="N84" s="114"/>
      <c r="O84" s="114"/>
      <c r="P84" s="114"/>
      <c r="Q84" s="173"/>
      <c r="R84" s="114"/>
      <c r="S84" s="114"/>
      <c r="T84" s="114"/>
      <c r="U84" s="173"/>
      <c r="V84" s="114"/>
      <c r="W84" s="114"/>
      <c r="X84" s="114"/>
      <c r="Z84" s="169"/>
      <c r="AA84" s="169"/>
      <c r="AB84" s="169"/>
      <c r="AD84" s="169">
        <v>30</v>
      </c>
      <c r="AE84" s="169">
        <v>0</v>
      </c>
      <c r="AF84" s="169">
        <v>0</v>
      </c>
      <c r="AH84" s="169"/>
      <c r="AI84" s="169"/>
      <c r="AJ84" s="169"/>
      <c r="AL84" s="169"/>
      <c r="AM84" s="169"/>
      <c r="AN84" s="169"/>
      <c r="AP84" s="169"/>
      <c r="AQ84" s="169"/>
      <c r="AR84" s="169"/>
      <c r="AT84" s="169"/>
      <c r="AU84" s="169"/>
      <c r="AV84" s="169"/>
      <c r="AX84" s="169"/>
      <c r="AY84" s="169"/>
      <c r="AZ84" s="169"/>
    </row>
    <row r="85" spans="1:256" x14ac:dyDescent="0.25">
      <c r="A85" s="113">
        <v>81</v>
      </c>
      <c r="B85" s="114" t="s">
        <v>655</v>
      </c>
      <c r="C85" s="114" t="s">
        <v>656</v>
      </c>
      <c r="D85" s="113" t="s">
        <v>69</v>
      </c>
      <c r="E85" s="173"/>
      <c r="F85" s="114"/>
      <c r="G85" s="114"/>
      <c r="H85" s="114"/>
      <c r="I85" s="173"/>
      <c r="J85" s="114"/>
      <c r="K85" s="114"/>
      <c r="L85" s="114"/>
      <c r="M85" s="173"/>
      <c r="N85" s="114"/>
      <c r="O85" s="114"/>
      <c r="P85" s="114"/>
      <c r="Q85" s="173"/>
      <c r="R85" s="114"/>
      <c r="S85" s="114"/>
      <c r="T85" s="114"/>
      <c r="U85" s="173"/>
      <c r="V85" s="114"/>
      <c r="W85" s="114"/>
      <c r="X85" s="114"/>
      <c r="Z85" s="169"/>
      <c r="AA85" s="169"/>
      <c r="AB85" s="169"/>
      <c r="AD85" s="169">
        <v>30</v>
      </c>
      <c r="AE85" s="169">
        <v>0</v>
      </c>
      <c r="AF85" s="169">
        <v>0</v>
      </c>
      <c r="AH85" s="169"/>
      <c r="AI85" s="169"/>
      <c r="AJ85" s="169"/>
      <c r="AL85" s="169"/>
      <c r="AM85" s="169"/>
      <c r="AN85" s="169"/>
      <c r="AP85" s="169"/>
      <c r="AQ85" s="169"/>
      <c r="AR85" s="169"/>
      <c r="AT85" s="169"/>
      <c r="AU85" s="169"/>
      <c r="AV85" s="169"/>
      <c r="AX85" s="169"/>
      <c r="AY85" s="169"/>
      <c r="AZ85" s="169"/>
    </row>
    <row r="86" spans="1:256" x14ac:dyDescent="0.25">
      <c r="A86" s="113">
        <v>82</v>
      </c>
      <c r="B86" s="114" t="s">
        <v>657</v>
      </c>
      <c r="C86" s="114" t="s">
        <v>658</v>
      </c>
      <c r="D86" s="113" t="s">
        <v>69</v>
      </c>
      <c r="E86" s="173"/>
      <c r="F86" s="114"/>
      <c r="G86" s="114"/>
      <c r="H86" s="114"/>
      <c r="I86" s="173"/>
      <c r="J86" s="114"/>
      <c r="K86" s="114"/>
      <c r="L86" s="114"/>
      <c r="M86" s="173"/>
      <c r="N86" s="114"/>
      <c r="O86" s="114"/>
      <c r="P86" s="114"/>
      <c r="Q86" s="173"/>
      <c r="R86" s="114"/>
      <c r="S86" s="114"/>
      <c r="T86" s="114"/>
      <c r="U86" s="173"/>
      <c r="V86" s="114"/>
      <c r="W86" s="114"/>
      <c r="X86" s="114"/>
      <c r="Z86" s="169"/>
      <c r="AA86" s="169"/>
      <c r="AB86" s="169"/>
      <c r="AD86" s="169">
        <v>23</v>
      </c>
      <c r="AE86" s="169">
        <v>0</v>
      </c>
      <c r="AF86" s="169">
        <v>0</v>
      </c>
      <c r="AH86" s="169"/>
      <c r="AI86" s="169"/>
      <c r="AJ86" s="169"/>
      <c r="AL86" s="169"/>
      <c r="AM86" s="169"/>
      <c r="AN86" s="169"/>
      <c r="AP86" s="169"/>
      <c r="AQ86" s="169"/>
      <c r="AR86" s="169"/>
      <c r="AT86" s="169"/>
      <c r="AU86" s="169"/>
      <c r="AV86" s="169"/>
      <c r="AX86" s="169"/>
      <c r="AY86" s="169"/>
      <c r="AZ86" s="169"/>
    </row>
    <row r="87" spans="1:256" x14ac:dyDescent="0.25">
      <c r="A87" s="113"/>
      <c r="B87" s="114"/>
      <c r="C87" s="114"/>
      <c r="D87" s="113"/>
      <c r="E87" s="173"/>
      <c r="F87" s="114"/>
      <c r="G87" s="114"/>
      <c r="H87" s="114"/>
      <c r="I87" s="173"/>
      <c r="J87" s="114"/>
      <c r="K87" s="114"/>
      <c r="L87" s="114"/>
      <c r="M87" s="173"/>
      <c r="N87" s="114"/>
      <c r="O87" s="114"/>
      <c r="P87" s="114"/>
      <c r="Q87" s="173"/>
      <c r="R87" s="114"/>
      <c r="S87" s="114"/>
      <c r="T87" s="114"/>
      <c r="U87" s="173"/>
      <c r="V87" s="114"/>
      <c r="W87" s="114"/>
      <c r="X87" s="114"/>
      <c r="Z87" s="169"/>
      <c r="AA87" s="169"/>
      <c r="AB87" s="169"/>
      <c r="AD87" s="169"/>
      <c r="AE87" s="169"/>
      <c r="AF87" s="169"/>
      <c r="AH87" s="169"/>
      <c r="AI87" s="169"/>
      <c r="AJ87" s="169"/>
      <c r="AL87" s="169"/>
      <c r="AM87" s="169"/>
      <c r="AN87" s="169"/>
      <c r="AP87" s="169"/>
      <c r="AQ87" s="169"/>
      <c r="AR87" s="169"/>
      <c r="AT87" s="169"/>
      <c r="AU87" s="169"/>
      <c r="AV87" s="169"/>
      <c r="AX87" s="169"/>
      <c r="AY87" s="169"/>
      <c r="AZ87" s="169"/>
    </row>
    <row r="88" spans="1:256" x14ac:dyDescent="0.25">
      <c r="A88" s="113"/>
      <c r="B88" s="114"/>
      <c r="C88" s="114"/>
      <c r="D88" s="113"/>
      <c r="E88" s="173"/>
      <c r="F88" s="114"/>
      <c r="G88" s="114"/>
      <c r="H88" s="114"/>
      <c r="I88" s="173"/>
      <c r="J88" s="114"/>
      <c r="K88" s="114"/>
      <c r="L88" s="114"/>
      <c r="M88" s="173"/>
      <c r="N88" s="114"/>
      <c r="O88" s="114"/>
      <c r="P88" s="114"/>
      <c r="Q88" s="173"/>
      <c r="R88" s="114"/>
      <c r="S88" s="114"/>
      <c r="T88" s="114"/>
      <c r="U88" s="173"/>
      <c r="V88" s="114"/>
      <c r="W88" s="114"/>
      <c r="X88" s="114"/>
      <c r="Z88" s="169"/>
      <c r="AA88" s="169"/>
      <c r="AB88" s="169"/>
      <c r="AD88" s="169"/>
      <c r="AE88" s="169"/>
      <c r="AF88" s="169"/>
      <c r="AH88" s="169"/>
      <c r="AI88" s="169"/>
      <c r="AJ88" s="169"/>
      <c r="AL88" s="169"/>
      <c r="AM88" s="169"/>
      <c r="AN88" s="169"/>
      <c r="AP88" s="169"/>
      <c r="AQ88" s="169"/>
      <c r="AR88" s="169"/>
      <c r="AT88" s="169"/>
      <c r="AU88" s="169"/>
      <c r="AV88" s="169"/>
      <c r="AX88" s="169"/>
      <c r="AY88" s="169"/>
      <c r="AZ88" s="169"/>
    </row>
    <row r="89" spans="1:256" x14ac:dyDescent="0.25">
      <c r="A89" s="113"/>
      <c r="B89" s="114"/>
      <c r="C89" s="114"/>
      <c r="D89" s="113"/>
      <c r="E89" s="173"/>
      <c r="F89" s="114"/>
      <c r="G89" s="114"/>
      <c r="H89" s="114"/>
      <c r="I89" s="173"/>
      <c r="J89" s="114"/>
      <c r="K89" s="114"/>
      <c r="L89" s="114"/>
      <c r="M89" s="173"/>
      <c r="N89" s="114"/>
      <c r="O89" s="114"/>
      <c r="P89" s="114"/>
      <c r="Q89" s="173"/>
      <c r="R89" s="114"/>
      <c r="S89" s="114"/>
      <c r="T89" s="114"/>
      <c r="U89" s="173"/>
      <c r="V89" s="114"/>
      <c r="W89" s="114"/>
      <c r="X89" s="114"/>
      <c r="Z89" s="169"/>
      <c r="AA89" s="169"/>
      <c r="AB89" s="169"/>
      <c r="AD89" s="169"/>
      <c r="AE89" s="169"/>
      <c r="AF89" s="169"/>
      <c r="AH89" s="169"/>
      <c r="AI89" s="169"/>
      <c r="AJ89" s="169"/>
      <c r="AL89" s="169"/>
      <c r="AM89" s="169"/>
      <c r="AN89" s="169"/>
      <c r="AP89" s="169"/>
      <c r="AQ89" s="169"/>
      <c r="AR89" s="169"/>
      <c r="AT89" s="169"/>
      <c r="AU89" s="169"/>
      <c r="AV89" s="169"/>
      <c r="AX89" s="169"/>
      <c r="AY89" s="169"/>
      <c r="AZ89" s="169"/>
    </row>
    <row r="90" spans="1:256" x14ac:dyDescent="0.25">
      <c r="A90" s="113"/>
      <c r="B90" s="114"/>
      <c r="C90" s="114"/>
      <c r="D90" s="113"/>
      <c r="E90" s="173"/>
      <c r="F90" s="114"/>
      <c r="G90" s="114"/>
      <c r="H90" s="114"/>
      <c r="I90" s="173"/>
      <c r="J90" s="114"/>
      <c r="K90" s="114"/>
      <c r="L90" s="114"/>
      <c r="M90" s="173"/>
      <c r="N90" s="114"/>
      <c r="O90" s="114"/>
      <c r="P90" s="114"/>
      <c r="Q90" s="173"/>
      <c r="R90" s="114"/>
      <c r="S90" s="114"/>
      <c r="T90" s="114"/>
      <c r="U90" s="173"/>
      <c r="V90" s="114"/>
      <c r="W90" s="114"/>
      <c r="X90" s="114"/>
      <c r="Z90" s="169"/>
      <c r="AA90" s="169"/>
      <c r="AB90" s="169"/>
      <c r="AD90" s="169"/>
      <c r="AE90" s="169"/>
      <c r="AF90" s="169"/>
      <c r="AH90" s="169"/>
      <c r="AI90" s="169"/>
      <c r="AJ90" s="169"/>
      <c r="AL90" s="169"/>
      <c r="AM90" s="169"/>
      <c r="AN90" s="169"/>
      <c r="AP90" s="169"/>
      <c r="AQ90" s="169"/>
      <c r="AR90" s="169"/>
      <c r="AT90" s="169"/>
      <c r="AU90" s="169"/>
      <c r="AV90" s="169"/>
      <c r="AX90" s="169"/>
      <c r="AY90" s="169"/>
      <c r="AZ90" s="169"/>
    </row>
    <row r="91" spans="1:256" x14ac:dyDescent="0.25">
      <c r="A91" s="124"/>
      <c r="B91" s="124"/>
      <c r="C91" s="133" t="s">
        <v>566</v>
      </c>
      <c r="D91" s="116" t="s">
        <v>59</v>
      </c>
      <c r="F91" s="116">
        <f>SUM(F5:F82)</f>
        <v>267577</v>
      </c>
      <c r="G91" s="116">
        <f>SUM(G5:G82)</f>
        <v>7294</v>
      </c>
      <c r="H91" s="116">
        <f>SUM(H5:H82)</f>
        <v>56</v>
      </c>
      <c r="J91" s="116">
        <f>SUM(J5:J82)</f>
        <v>264430</v>
      </c>
      <c r="K91" s="116">
        <f>SUM(K5:K82)</f>
        <v>5460</v>
      </c>
      <c r="L91" s="116">
        <f>SUM(L5:L82)</f>
        <v>11</v>
      </c>
      <c r="N91" s="116">
        <f>SUM(N5:N82)</f>
        <v>245087</v>
      </c>
      <c r="O91" s="116">
        <f>SUM(O5:O82)</f>
        <v>7057</v>
      </c>
      <c r="P91" s="116">
        <f>SUM(P5:P82)</f>
        <v>26</v>
      </c>
      <c r="R91" s="116">
        <f>SUM(R5:R82)</f>
        <v>165817</v>
      </c>
      <c r="S91" s="116">
        <f>SUM(S5:S82)</f>
        <v>6033</v>
      </c>
      <c r="T91" s="116">
        <f>SUM(T5:T82)</f>
        <v>15</v>
      </c>
      <c r="V91" s="116">
        <f>SUM(V5:V82)</f>
        <v>272831</v>
      </c>
      <c r="W91" s="116">
        <f>SUM(W5:W82)</f>
        <v>6770</v>
      </c>
      <c r="X91" s="116">
        <f>SUM(X5:X82)</f>
        <v>0</v>
      </c>
      <c r="Z91" s="116">
        <f>SUM(Z5:Z82)</f>
        <v>254461</v>
      </c>
      <c r="AA91" s="116">
        <f>SUM(AA5:AA82)</f>
        <v>6052</v>
      </c>
      <c r="AB91" s="116">
        <f>SUM(AB5:AB82)</f>
        <v>3</v>
      </c>
      <c r="AD91" s="116">
        <f>SUM(AD5:AD90)</f>
        <v>280478</v>
      </c>
      <c r="AE91" s="116">
        <f>SUM(AE5:AE90)</f>
        <v>2087</v>
      </c>
      <c r="AF91" s="116">
        <f>SUM(AF5:AF90)</f>
        <v>0</v>
      </c>
      <c r="AH91" s="116">
        <f>SUM(AH5:AH90)</f>
        <v>0</v>
      </c>
      <c r="AI91" s="116">
        <f>SUM(AI5:AI90)</f>
        <v>0</v>
      </c>
      <c r="AJ91" s="116">
        <f>SUM(AJ5:AJ90)</f>
        <v>0</v>
      </c>
      <c r="AL91" s="116">
        <f>SUM(AL5:AL90)</f>
        <v>0</v>
      </c>
      <c r="AM91" s="116">
        <f>SUM(AM5:AM90)</f>
        <v>0</v>
      </c>
      <c r="AN91" s="116">
        <f>SUM(AN5:AN90)</f>
        <v>0</v>
      </c>
      <c r="AP91" s="116">
        <f>SUM(AP5:AP90)</f>
        <v>0</v>
      </c>
      <c r="AQ91" s="116">
        <f>SUM(AQ5:AQ90)</f>
        <v>0</v>
      </c>
      <c r="AR91" s="116">
        <f>SUM(AR5:AR90)</f>
        <v>0</v>
      </c>
      <c r="AT91" s="116">
        <f>SUM(AT5:AT90)</f>
        <v>0</v>
      </c>
      <c r="AU91" s="116">
        <f>SUM(AU5:AU90)</f>
        <v>0</v>
      </c>
      <c r="AV91" s="116">
        <f>SUM(AV5:AV90)</f>
        <v>0</v>
      </c>
      <c r="AX91" s="116">
        <f>SUM(AX5:AX90)</f>
        <v>0</v>
      </c>
      <c r="AY91" s="116">
        <f>SUM(AY5:AY90)</f>
        <v>0</v>
      </c>
      <c r="AZ91" s="116">
        <f>SUM(AZ5:AZ90)</f>
        <v>0</v>
      </c>
    </row>
    <row r="92" spans="1:256" x14ac:dyDescent="0.25">
      <c r="A92" s="124"/>
      <c r="B92" s="124"/>
      <c r="C92" s="133" t="s">
        <v>64</v>
      </c>
      <c r="D92" s="117" t="s">
        <v>181</v>
      </c>
      <c r="F92" s="118">
        <f>F91/(F91+G91+H91)</f>
        <v>0.973265630512827</v>
      </c>
      <c r="G92" s="118">
        <f>G91/(F91+G91+H91)</f>
        <v>2.6530679052984976E-2</v>
      </c>
      <c r="H92" s="118">
        <f>H91/(F91+G91+H91)</f>
        <v>2.0369043418798444E-4</v>
      </c>
      <c r="J92" s="118">
        <f>J91/(J91+K91+L91)</f>
        <v>0.97972960455870861</v>
      </c>
      <c r="K92" s="118">
        <f>K91/(J91+K91+L91)</f>
        <v>2.0229639756799714E-2</v>
      </c>
      <c r="L92" s="118">
        <f>L91/(J91+K91+L91)</f>
        <v>4.075568449172104E-5</v>
      </c>
      <c r="N92" s="118">
        <f>N91/(N91+O91+P91)</f>
        <v>0.97191180552801681</v>
      </c>
      <c r="O92" s="118">
        <f>O91/(N91+O91+P91)</f>
        <v>2.7985089423801405E-2</v>
      </c>
      <c r="P92" s="118">
        <f>P91/(N91+O91+P91)</f>
        <v>1.0310504818178213E-4</v>
      </c>
      <c r="R92" s="118">
        <f>R91/(R91+S91+T91)</f>
        <v>0.96480958892153723</v>
      </c>
      <c r="S92" s="118">
        <f>S91/(R91+S91+T91)</f>
        <v>3.5103133273208624E-2</v>
      </c>
      <c r="T92" s="118">
        <f>T91/(R91+S91+T91)</f>
        <v>8.7277805254123877E-5</v>
      </c>
      <c r="V92" s="118">
        <f>V91/(V91+W91+X91)</f>
        <v>0.97578692493946728</v>
      </c>
      <c r="W92" s="118">
        <f>W91/(V91+W91+X91)</f>
        <v>2.4213075060532687E-2</v>
      </c>
      <c r="X92" s="118">
        <f>X91/(V91+W91+X91)</f>
        <v>0</v>
      </c>
      <c r="Z92" s="118">
        <f>Z91/(Z91+AA91+AB91)</f>
        <v>0.97675766555605026</v>
      </c>
      <c r="AA92" s="118">
        <f>AA91/(Z91+AA91+AB91)</f>
        <v>2.3230818836463021E-2</v>
      </c>
      <c r="AB92" s="118">
        <f>AB91/(Z91+AA91+AB91)</f>
        <v>1.1515607486680281E-5</v>
      </c>
      <c r="AD92" s="118">
        <f>AD91/(AD91+AE91+AF91)</f>
        <v>0.99261408879372892</v>
      </c>
      <c r="AE92" s="118">
        <f>AE91/(AD91+AE91+AF91)</f>
        <v>7.3859112062711237E-3</v>
      </c>
      <c r="AF92" s="118">
        <f>AF91/(AD91+AE91+AF91)</f>
        <v>0</v>
      </c>
      <c r="AH92" s="118" t="e">
        <f>AH91/(AH91+AI91+AJ91)</f>
        <v>#DIV/0!</v>
      </c>
      <c r="AI92" s="118" t="e">
        <f>AI91/(AH91+AI91+AJ91)</f>
        <v>#DIV/0!</v>
      </c>
      <c r="AJ92" s="118" t="e">
        <f>AJ91/(AH91+AI91+AJ91)</f>
        <v>#DIV/0!</v>
      </c>
      <c r="AL92" s="118" t="e">
        <f>AL91/(AL91+AM91+AN91)</f>
        <v>#DIV/0!</v>
      </c>
      <c r="AM92" s="118" t="e">
        <f>AM91/(AL91+AM91+AN91)</f>
        <v>#DIV/0!</v>
      </c>
      <c r="AN92" s="118" t="e">
        <f>AN91/(AL91+AM91+AN91)</f>
        <v>#DIV/0!</v>
      </c>
      <c r="AP92" s="118" t="e">
        <f>AP91/(AP91+AQ91+AR91)</f>
        <v>#DIV/0!</v>
      </c>
      <c r="AQ92" s="118" t="e">
        <f>AQ91/(AP91+AQ91+AR91)</f>
        <v>#DIV/0!</v>
      </c>
      <c r="AR92" s="118" t="e">
        <f>AR91/(AP91+AQ91+AR91)</f>
        <v>#DIV/0!</v>
      </c>
      <c r="AT92" s="118" t="e">
        <f>AT91/(AT91+AU91+AV91)</f>
        <v>#DIV/0!</v>
      </c>
      <c r="AU92" s="118" t="e">
        <f>AU91/(AT91+AU91+AV91)</f>
        <v>#DIV/0!</v>
      </c>
      <c r="AV92" s="118" t="e">
        <f>AV91/(AT91+AU91+AV91)</f>
        <v>#DIV/0!</v>
      </c>
      <c r="AX92" s="118" t="e">
        <f>AX91/(AX91+AY91+AZ91)</f>
        <v>#DIV/0!</v>
      </c>
      <c r="AY92" s="118" t="e">
        <f>AY91/(AX91+AY91+AZ91)</f>
        <v>#DIV/0!</v>
      </c>
      <c r="AZ92" s="118" t="e">
        <f>AZ91/(AX91+AY91+AZ91)</f>
        <v>#DIV/0!</v>
      </c>
    </row>
    <row r="93" spans="1:256" x14ac:dyDescent="0.25">
      <c r="A93" s="131"/>
      <c r="B93" s="131"/>
      <c r="C93" s="131"/>
      <c r="D93" s="132"/>
      <c r="F93" s="118"/>
      <c r="G93" s="118"/>
      <c r="H93" s="118"/>
      <c r="J93" s="118"/>
      <c r="K93" s="118"/>
      <c r="L93" s="118"/>
      <c r="N93" s="118"/>
      <c r="O93" s="118"/>
      <c r="P93" s="118"/>
      <c r="R93" s="118"/>
      <c r="S93" s="118"/>
      <c r="T93" s="118"/>
      <c r="V93" s="118"/>
      <c r="W93" s="118"/>
      <c r="X93" s="118"/>
      <c r="Y93" s="134"/>
      <c r="Z93" s="118"/>
      <c r="AA93" s="118"/>
      <c r="AB93" s="118"/>
      <c r="AC93" s="134"/>
      <c r="AD93" s="118"/>
      <c r="AE93" s="118"/>
      <c r="AF93" s="118"/>
      <c r="AG93" s="134"/>
      <c r="AH93" s="118"/>
      <c r="AI93" s="118"/>
      <c r="AJ93" s="118"/>
      <c r="AK93" s="134"/>
      <c r="AL93" s="118"/>
      <c r="AM93" s="118"/>
      <c r="AN93" s="118"/>
      <c r="AO93" s="134"/>
      <c r="AP93" s="118"/>
      <c r="AQ93" s="118"/>
      <c r="AR93" s="118"/>
      <c r="AS93" s="134"/>
      <c r="AT93" s="118"/>
      <c r="AU93" s="118"/>
      <c r="AV93" s="118"/>
      <c r="AW93" s="134"/>
      <c r="AX93" s="118"/>
      <c r="AY93" s="118"/>
      <c r="AZ93" s="118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  <c r="CY93" s="134"/>
      <c r="CZ93" s="134"/>
      <c r="DA93" s="134"/>
      <c r="DB93" s="134"/>
      <c r="DC93" s="134"/>
      <c r="DD93" s="134"/>
      <c r="DE93" s="134"/>
      <c r="DF93" s="134"/>
      <c r="DG93" s="134"/>
      <c r="DH93" s="134"/>
      <c r="DI93" s="134"/>
      <c r="DJ93" s="134"/>
      <c r="DK93" s="134"/>
      <c r="DL93" s="134"/>
      <c r="DM93" s="134"/>
      <c r="DN93" s="134"/>
      <c r="DO93" s="134"/>
      <c r="DP93" s="134"/>
      <c r="DQ93" s="134"/>
      <c r="DR93" s="134"/>
      <c r="DS93" s="134"/>
      <c r="DT93" s="134"/>
      <c r="DU93" s="134"/>
      <c r="DV93" s="134"/>
      <c r="DW93" s="134"/>
      <c r="DX93" s="134"/>
      <c r="DY93" s="134"/>
      <c r="DZ93" s="134"/>
      <c r="EA93" s="134"/>
      <c r="EB93" s="134"/>
      <c r="EC93" s="134"/>
      <c r="ED93" s="134"/>
      <c r="EE93" s="134"/>
      <c r="EF93" s="134"/>
      <c r="EG93" s="134"/>
      <c r="EH93" s="134"/>
      <c r="EI93" s="134"/>
      <c r="EJ93" s="134"/>
      <c r="EK93" s="134"/>
      <c r="EL93" s="134"/>
      <c r="EM93" s="134"/>
      <c r="EN93" s="134"/>
      <c r="EO93" s="134"/>
      <c r="EP93" s="134"/>
      <c r="EQ93" s="134"/>
      <c r="ER93" s="134"/>
      <c r="ES93" s="134"/>
      <c r="ET93" s="134"/>
      <c r="EU93" s="134"/>
      <c r="EV93" s="134"/>
      <c r="EW93" s="134"/>
      <c r="EX93" s="134"/>
      <c r="EY93" s="134"/>
      <c r="EZ93" s="134"/>
      <c r="FA93" s="134"/>
      <c r="FB93" s="134"/>
      <c r="FC93" s="134"/>
      <c r="FD93" s="134"/>
      <c r="FE93" s="134"/>
      <c r="FF93" s="134"/>
      <c r="FG93" s="134"/>
      <c r="FH93" s="134"/>
      <c r="FI93" s="134"/>
      <c r="FJ93" s="134"/>
      <c r="FK93" s="134"/>
      <c r="FL93" s="134"/>
      <c r="FM93" s="134"/>
      <c r="FN93" s="134"/>
      <c r="FO93" s="134"/>
      <c r="FP93" s="134"/>
      <c r="FQ93" s="134"/>
      <c r="FR93" s="134"/>
      <c r="FS93" s="134"/>
      <c r="FT93" s="134"/>
      <c r="FU93" s="134"/>
      <c r="FV93" s="134"/>
      <c r="FW93" s="134"/>
      <c r="FX93" s="134"/>
      <c r="FY93" s="134"/>
      <c r="FZ93" s="134"/>
      <c r="GA93" s="134"/>
      <c r="GB93" s="134"/>
      <c r="GC93" s="134"/>
      <c r="GD93" s="134"/>
      <c r="GE93" s="134"/>
      <c r="GF93" s="134"/>
      <c r="GG93" s="134"/>
      <c r="GH93" s="134"/>
      <c r="GI93" s="134"/>
      <c r="GJ93" s="134"/>
      <c r="GK93" s="134"/>
      <c r="GL93" s="134"/>
      <c r="GM93" s="134"/>
      <c r="GN93" s="134"/>
      <c r="GO93" s="134"/>
      <c r="GP93" s="134"/>
      <c r="GQ93" s="134"/>
      <c r="GR93" s="134"/>
      <c r="GS93" s="134"/>
      <c r="GT93" s="134"/>
      <c r="GU93" s="134"/>
      <c r="GV93" s="134"/>
      <c r="GW93" s="134"/>
      <c r="GX93" s="134"/>
      <c r="GY93" s="134"/>
      <c r="GZ93" s="134"/>
      <c r="HA93" s="134"/>
      <c r="HB93" s="134"/>
      <c r="HC93" s="134"/>
      <c r="HD93" s="134"/>
      <c r="HE93" s="134"/>
      <c r="HF93" s="134"/>
      <c r="HG93" s="134"/>
      <c r="HH93" s="134"/>
      <c r="HI93" s="134"/>
      <c r="HJ93" s="134"/>
      <c r="HK93" s="134"/>
      <c r="HL93" s="134"/>
      <c r="HM93" s="134"/>
      <c r="HN93" s="134"/>
      <c r="HO93" s="134"/>
      <c r="HP93" s="134"/>
      <c r="HQ93" s="134"/>
      <c r="HR93" s="134"/>
      <c r="HS93" s="134"/>
      <c r="HT93" s="134"/>
      <c r="HU93" s="134"/>
      <c r="HV93" s="134"/>
      <c r="HW93" s="134"/>
      <c r="HX93" s="134"/>
      <c r="HY93" s="134"/>
      <c r="HZ93" s="134"/>
      <c r="IA93" s="134"/>
      <c r="IB93" s="134"/>
      <c r="IC93" s="134"/>
      <c r="ID93" s="134"/>
      <c r="IE93" s="134"/>
      <c r="IF93" s="134"/>
      <c r="IG93" s="134"/>
      <c r="IH93" s="134"/>
      <c r="II93" s="134"/>
      <c r="IJ93" s="134"/>
      <c r="IK93" s="134"/>
      <c r="IL93" s="134"/>
      <c r="IM93" s="134"/>
      <c r="IN93" s="134"/>
      <c r="IO93" s="134"/>
      <c r="IP93" s="134"/>
      <c r="IQ93" s="134"/>
      <c r="IR93" s="134"/>
      <c r="IS93" s="134"/>
      <c r="IT93" s="134"/>
      <c r="IU93" s="134"/>
      <c r="IV93" s="134"/>
    </row>
    <row r="94" spans="1:256" x14ac:dyDescent="0.25">
      <c r="A94" s="124"/>
      <c r="B94" s="124"/>
      <c r="C94" s="133" t="s">
        <v>567</v>
      </c>
      <c r="D94" s="116" t="s">
        <v>59</v>
      </c>
      <c r="F94" s="116">
        <f>F91</f>
        <v>267577</v>
      </c>
      <c r="G94" s="116">
        <f>G91</f>
        <v>7294</v>
      </c>
      <c r="H94" s="116">
        <f>H91</f>
        <v>56</v>
      </c>
      <c r="J94" s="116">
        <f>F94+J91</f>
        <v>532007</v>
      </c>
      <c r="K94" s="116">
        <f>G94+K91</f>
        <v>12754</v>
      </c>
      <c r="L94" s="116">
        <f>H94+L91</f>
        <v>67</v>
      </c>
      <c r="N94" s="116">
        <f>J94+N91</f>
        <v>777094</v>
      </c>
      <c r="O94" s="116">
        <f>K94+O91</f>
        <v>19811</v>
      </c>
      <c r="P94" s="116">
        <f>L94+P91</f>
        <v>93</v>
      </c>
      <c r="R94" s="116">
        <f>N94+R91</f>
        <v>942911</v>
      </c>
      <c r="S94" s="116">
        <f>O94+S91</f>
        <v>25844</v>
      </c>
      <c r="T94" s="116">
        <f>P94+T91</f>
        <v>108</v>
      </c>
      <c r="V94" s="116">
        <f>R94+V91</f>
        <v>1215742</v>
      </c>
      <c r="W94" s="116">
        <f>S94+W91</f>
        <v>32614</v>
      </c>
      <c r="X94" s="116">
        <f>T94+X91</f>
        <v>108</v>
      </c>
      <c r="Y94" s="134"/>
      <c r="Z94" s="116">
        <f>V94+Z91</f>
        <v>1470203</v>
      </c>
      <c r="AA94" s="116">
        <f>W94+AA91</f>
        <v>38666</v>
      </c>
      <c r="AB94" s="116">
        <f>X94+AB91</f>
        <v>111</v>
      </c>
      <c r="AC94" s="134"/>
      <c r="AD94" s="116">
        <f>Z94+AD91</f>
        <v>1750681</v>
      </c>
      <c r="AE94" s="116">
        <f>AA94+AE91</f>
        <v>40753</v>
      </c>
      <c r="AF94" s="116">
        <f>AB94+AF91</f>
        <v>111</v>
      </c>
      <c r="AG94" s="134"/>
      <c r="AH94" s="116">
        <f>AD94+AH91</f>
        <v>1750681</v>
      </c>
      <c r="AI94" s="116">
        <f>AE94+AI91</f>
        <v>40753</v>
      </c>
      <c r="AJ94" s="116">
        <f>AF94+AJ91</f>
        <v>111</v>
      </c>
      <c r="AK94" s="134"/>
      <c r="AL94" s="116">
        <f>AH94+AL91</f>
        <v>1750681</v>
      </c>
      <c r="AM94" s="116">
        <f>AI94+AM91</f>
        <v>40753</v>
      </c>
      <c r="AN94" s="116">
        <f>AJ94+AN91</f>
        <v>111</v>
      </c>
      <c r="AO94" s="134"/>
      <c r="AP94" s="116">
        <f>AL94+AP91</f>
        <v>1750681</v>
      </c>
      <c r="AQ94" s="116">
        <f>AM94+AQ91</f>
        <v>40753</v>
      </c>
      <c r="AR94" s="116">
        <f>AN94+AR91</f>
        <v>111</v>
      </c>
      <c r="AS94" s="134"/>
      <c r="AT94" s="116">
        <f>AP94+AT91</f>
        <v>1750681</v>
      </c>
      <c r="AU94" s="116">
        <f>AQ94+AU91</f>
        <v>40753</v>
      </c>
      <c r="AV94" s="116">
        <f>AR94+AV91</f>
        <v>111</v>
      </c>
      <c r="AW94" s="134"/>
      <c r="AX94" s="116">
        <f>AT94+AX91</f>
        <v>1750681</v>
      </c>
      <c r="AY94" s="116">
        <f>AU94+AY91</f>
        <v>40753</v>
      </c>
      <c r="AZ94" s="116">
        <f>AV94+AZ91</f>
        <v>111</v>
      </c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  <c r="CY94" s="134"/>
      <c r="CZ94" s="134"/>
      <c r="DA94" s="134"/>
      <c r="DB94" s="134"/>
      <c r="DC94" s="13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4"/>
      <c r="DQ94" s="134"/>
      <c r="DR94" s="134"/>
      <c r="DS94" s="134"/>
      <c r="DT94" s="134"/>
      <c r="DU94" s="134"/>
      <c r="DV94" s="134"/>
      <c r="DW94" s="134"/>
      <c r="DX94" s="134"/>
      <c r="DY94" s="134"/>
      <c r="DZ94" s="134"/>
      <c r="EA94" s="134"/>
      <c r="EB94" s="134"/>
      <c r="EC94" s="134"/>
      <c r="ED94" s="134"/>
      <c r="EE94" s="134"/>
      <c r="EF94" s="134"/>
      <c r="EG94" s="134"/>
      <c r="EH94" s="134"/>
      <c r="EI94" s="134"/>
      <c r="EJ94" s="134"/>
      <c r="EK94" s="134"/>
      <c r="EL94" s="134"/>
      <c r="EM94" s="134"/>
      <c r="EN94" s="134"/>
      <c r="EO94" s="134"/>
      <c r="EP94" s="134"/>
      <c r="EQ94" s="134"/>
      <c r="ER94" s="134"/>
      <c r="ES94" s="134"/>
      <c r="ET94" s="134"/>
      <c r="EU94" s="134"/>
      <c r="EV94" s="134"/>
      <c r="EW94" s="134"/>
      <c r="EX94" s="134"/>
      <c r="EY94" s="134"/>
      <c r="EZ94" s="134"/>
      <c r="FA94" s="134"/>
      <c r="FB94" s="134"/>
      <c r="FC94" s="134"/>
      <c r="FD94" s="134"/>
      <c r="FE94" s="134"/>
      <c r="FF94" s="134"/>
      <c r="FG94" s="134"/>
      <c r="FH94" s="134"/>
      <c r="FI94" s="134"/>
      <c r="FJ94" s="134"/>
      <c r="FK94" s="134"/>
      <c r="FL94" s="134"/>
      <c r="FM94" s="134"/>
      <c r="FN94" s="134"/>
      <c r="FO94" s="134"/>
      <c r="FP94" s="134"/>
      <c r="FQ94" s="134"/>
      <c r="FR94" s="134"/>
      <c r="FS94" s="134"/>
      <c r="FT94" s="134"/>
      <c r="FU94" s="134"/>
      <c r="FV94" s="134"/>
      <c r="FW94" s="134"/>
      <c r="FX94" s="134"/>
      <c r="FY94" s="134"/>
      <c r="FZ94" s="134"/>
      <c r="GA94" s="134"/>
      <c r="GB94" s="134"/>
      <c r="GC94" s="134"/>
      <c r="GD94" s="134"/>
      <c r="GE94" s="134"/>
      <c r="GF94" s="134"/>
      <c r="GG94" s="134"/>
      <c r="GH94" s="134"/>
      <c r="GI94" s="134"/>
      <c r="GJ94" s="134"/>
      <c r="GK94" s="134"/>
      <c r="GL94" s="134"/>
      <c r="GM94" s="134"/>
      <c r="GN94" s="134"/>
      <c r="GO94" s="134"/>
      <c r="GP94" s="134"/>
      <c r="GQ94" s="134"/>
      <c r="GR94" s="134"/>
      <c r="GS94" s="134"/>
      <c r="GT94" s="134"/>
      <c r="GU94" s="134"/>
      <c r="GV94" s="134"/>
      <c r="GW94" s="134"/>
      <c r="GX94" s="134"/>
      <c r="GY94" s="134"/>
      <c r="GZ94" s="134"/>
      <c r="HA94" s="134"/>
      <c r="HB94" s="134"/>
      <c r="HC94" s="134"/>
      <c r="HD94" s="134"/>
      <c r="HE94" s="134"/>
      <c r="HF94" s="134"/>
      <c r="HG94" s="134"/>
      <c r="HH94" s="134"/>
      <c r="HI94" s="134"/>
      <c r="HJ94" s="134"/>
      <c r="HK94" s="134"/>
      <c r="HL94" s="134"/>
      <c r="HM94" s="134"/>
      <c r="HN94" s="134"/>
      <c r="HO94" s="134"/>
      <c r="HP94" s="134"/>
      <c r="HQ94" s="134"/>
      <c r="HR94" s="134"/>
      <c r="HS94" s="134"/>
      <c r="HT94" s="134"/>
      <c r="HU94" s="134"/>
      <c r="HV94" s="134"/>
      <c r="HW94" s="134"/>
      <c r="HX94" s="134"/>
      <c r="HY94" s="134"/>
      <c r="HZ94" s="134"/>
      <c r="IA94" s="134"/>
      <c r="IB94" s="134"/>
      <c r="IC94" s="134"/>
      <c r="ID94" s="134"/>
      <c r="IE94" s="134"/>
      <c r="IF94" s="134"/>
      <c r="IG94" s="134"/>
      <c r="IH94" s="134"/>
      <c r="II94" s="134"/>
      <c r="IJ94" s="134"/>
      <c r="IK94" s="134"/>
      <c r="IL94" s="134"/>
      <c r="IM94" s="134"/>
      <c r="IN94" s="134"/>
      <c r="IO94" s="134"/>
      <c r="IP94" s="134"/>
      <c r="IQ94" s="134"/>
      <c r="IR94" s="134"/>
      <c r="IS94" s="134"/>
      <c r="IT94" s="134"/>
      <c r="IU94" s="134"/>
      <c r="IV94" s="134"/>
    </row>
    <row r="95" spans="1:256" x14ac:dyDescent="0.25">
      <c r="A95" s="124"/>
      <c r="B95" s="124"/>
      <c r="C95" s="133" t="s">
        <v>64</v>
      </c>
      <c r="D95" s="117" t="s">
        <v>181</v>
      </c>
      <c r="F95" s="118">
        <f>F94/(F94+G94+H94)</f>
        <v>0.973265630512827</v>
      </c>
      <c r="G95" s="118">
        <f>G94/(F94+G94+H94)</f>
        <v>2.6530679052984976E-2</v>
      </c>
      <c r="H95" s="118">
        <f>H94/(F94+G94+H94)</f>
        <v>2.0369043418798444E-4</v>
      </c>
      <c r="J95" s="118">
        <f>J94/(J94+K94+L94)</f>
        <v>0.97646780268268152</v>
      </c>
      <c r="K95" s="118">
        <f>K94/(J94+K94+L94)</f>
        <v>2.3409222727172611E-2</v>
      </c>
      <c r="L95" s="118">
        <f>L94/(J94+K94+L94)</f>
        <v>1.229745901458809E-4</v>
      </c>
      <c r="N95" s="118">
        <f>N94/(N94+O94+P94)</f>
        <v>0.97502628613873565</v>
      </c>
      <c r="O95" s="118">
        <f>O94/(N94+O94+P94)</f>
        <v>2.4857025990027579E-2</v>
      </c>
      <c r="P95" s="118">
        <f>P94/(N94+O94+P94)</f>
        <v>1.1668787123681615E-4</v>
      </c>
      <c r="R95" s="118">
        <f>R94/(R94+S94+T94)</f>
        <v>0.97321396317126363</v>
      </c>
      <c r="S95" s="118">
        <f>S94/(R94+S94+T94)</f>
        <v>2.6674565960306051E-2</v>
      </c>
      <c r="T95" s="118">
        <f>T94/(R94+S94+T94)</f>
        <v>1.1147086843031471E-4</v>
      </c>
      <c r="V95" s="118">
        <f>V94/(V94+W94+X94)</f>
        <v>0.97379019338963724</v>
      </c>
      <c r="W95" s="118">
        <f>W94/(V94+W94+X94)</f>
        <v>2.6123300311422678E-2</v>
      </c>
      <c r="X95" s="118">
        <f>X94/(V94+W94+X94)</f>
        <v>8.6506298940137647E-5</v>
      </c>
      <c r="Y95" s="134"/>
      <c r="Z95" s="118">
        <f>Z94/(Z94+AA94+AB94)</f>
        <v>0.9743025089795756</v>
      </c>
      <c r="AA95" s="118">
        <f>AA94/(Z94+AA94+AB94)</f>
        <v>2.5623931397367759E-2</v>
      </c>
      <c r="AB95" s="118">
        <f>AB94/(Z94+AA94+AB94)</f>
        <v>7.3559623056634286E-5</v>
      </c>
      <c r="AC95" s="134"/>
      <c r="AD95" s="118">
        <f>AD94/(AD94+AE94+AF94)</f>
        <v>0.97719063713163778</v>
      </c>
      <c r="AE95" s="118">
        <f>AE94/(AD94+AE94+AF94)</f>
        <v>2.2747405172630328E-2</v>
      </c>
      <c r="AF95" s="118">
        <f>AF94/(AD94+AE94+AF94)</f>
        <v>6.195769573189621E-5</v>
      </c>
      <c r="AG95" s="134"/>
      <c r="AH95" s="118">
        <f>AH94/(AH94+AI94+AJ94)</f>
        <v>0.97719063713163778</v>
      </c>
      <c r="AI95" s="118">
        <f>AI94/(AH94+AI94+AJ94)</f>
        <v>2.2747405172630328E-2</v>
      </c>
      <c r="AJ95" s="118">
        <f>AJ94/(AH94+AI94+AJ94)</f>
        <v>6.195769573189621E-5</v>
      </c>
      <c r="AK95" s="134"/>
      <c r="AL95" s="118">
        <f>AL94/(AL94+AM94+AN94)</f>
        <v>0.97719063713163778</v>
      </c>
      <c r="AM95" s="118">
        <f>AM94/(AL94+AM94+AN94)</f>
        <v>2.2747405172630328E-2</v>
      </c>
      <c r="AN95" s="118">
        <f>AN94/(AL94+AM94+AN94)</f>
        <v>6.195769573189621E-5</v>
      </c>
      <c r="AO95" s="134"/>
      <c r="AP95" s="118">
        <f>AP94/(AP94+AQ94+AR94)</f>
        <v>0.97719063713163778</v>
      </c>
      <c r="AQ95" s="118">
        <f>AQ94/(AP94+AQ94+AR94)</f>
        <v>2.2747405172630328E-2</v>
      </c>
      <c r="AR95" s="118">
        <f>AR94/(AP94+AQ94+AR94)</f>
        <v>6.195769573189621E-5</v>
      </c>
      <c r="AS95" s="134"/>
      <c r="AT95" s="118">
        <f>AT94/(AT94+AU94+AV94)</f>
        <v>0.97719063713163778</v>
      </c>
      <c r="AU95" s="118">
        <f>AU94/(AT94+AU94+AV94)</f>
        <v>2.2747405172630328E-2</v>
      </c>
      <c r="AV95" s="118">
        <f>AV94/(AT94+AU94+AV94)</f>
        <v>6.195769573189621E-5</v>
      </c>
      <c r="AW95" s="134"/>
      <c r="AX95" s="118">
        <f>AX94/(AX94+AY94+AZ94)</f>
        <v>0.97719063713163778</v>
      </c>
      <c r="AY95" s="118">
        <f>AY94/(AX94+AY94+AZ94)</f>
        <v>2.2747405172630328E-2</v>
      </c>
      <c r="AZ95" s="118">
        <f>AZ94/(AX94+AY94+AZ94)</f>
        <v>6.195769573189621E-5</v>
      </c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  <c r="CY95" s="134"/>
      <c r="CZ95" s="134"/>
      <c r="DA95" s="134"/>
      <c r="DB95" s="134"/>
      <c r="DC95" s="134"/>
      <c r="DD95" s="134"/>
      <c r="DE95" s="134"/>
      <c r="DF95" s="134"/>
      <c r="DG95" s="134"/>
      <c r="DH95" s="134"/>
      <c r="DI95" s="134"/>
      <c r="DJ95" s="134"/>
      <c r="DK95" s="134"/>
      <c r="DL95" s="134"/>
      <c r="DM95" s="134"/>
      <c r="DN95" s="134"/>
      <c r="DO95" s="134"/>
      <c r="DP95" s="134"/>
      <c r="DQ95" s="134"/>
      <c r="DR95" s="134"/>
      <c r="DS95" s="134"/>
      <c r="DT95" s="134"/>
      <c r="DU95" s="134"/>
      <c r="DV95" s="134"/>
      <c r="DW95" s="134"/>
      <c r="DX95" s="134"/>
      <c r="DY95" s="134"/>
      <c r="DZ95" s="134"/>
      <c r="EA95" s="134"/>
      <c r="EB95" s="134"/>
      <c r="EC95" s="134"/>
      <c r="ED95" s="134"/>
      <c r="EE95" s="134"/>
      <c r="EF95" s="134"/>
      <c r="EG95" s="134"/>
      <c r="EH95" s="134"/>
      <c r="EI95" s="134"/>
      <c r="EJ95" s="134"/>
      <c r="EK95" s="134"/>
      <c r="EL95" s="134"/>
      <c r="EM95" s="134"/>
      <c r="EN95" s="134"/>
      <c r="EO95" s="134"/>
      <c r="EP95" s="134"/>
      <c r="EQ95" s="134"/>
      <c r="ER95" s="134"/>
      <c r="ES95" s="134"/>
      <c r="ET95" s="134"/>
      <c r="EU95" s="134"/>
      <c r="EV95" s="134"/>
      <c r="EW95" s="134"/>
      <c r="EX95" s="134"/>
      <c r="EY95" s="134"/>
      <c r="EZ95" s="134"/>
      <c r="FA95" s="134"/>
      <c r="FB95" s="134"/>
      <c r="FC95" s="134"/>
      <c r="FD95" s="134"/>
      <c r="FE95" s="134"/>
      <c r="FF95" s="134"/>
      <c r="FG95" s="134"/>
      <c r="FH95" s="134"/>
      <c r="FI95" s="134"/>
      <c r="FJ95" s="134"/>
      <c r="FK95" s="134"/>
      <c r="FL95" s="134"/>
      <c r="FM95" s="134"/>
      <c r="FN95" s="134"/>
      <c r="FO95" s="134"/>
      <c r="FP95" s="134"/>
      <c r="FQ95" s="134"/>
      <c r="FR95" s="134"/>
      <c r="FS95" s="134"/>
      <c r="FT95" s="134"/>
      <c r="FU95" s="134"/>
      <c r="FV95" s="134"/>
      <c r="FW95" s="134"/>
      <c r="FX95" s="134"/>
      <c r="FY95" s="134"/>
      <c r="FZ95" s="134"/>
      <c r="GA95" s="134"/>
      <c r="GB95" s="134"/>
      <c r="GC95" s="134"/>
      <c r="GD95" s="134"/>
      <c r="GE95" s="134"/>
      <c r="GF95" s="134"/>
      <c r="GG95" s="134"/>
      <c r="GH95" s="134"/>
      <c r="GI95" s="134"/>
      <c r="GJ95" s="134"/>
      <c r="GK95" s="134"/>
      <c r="GL95" s="134"/>
      <c r="GM95" s="134"/>
      <c r="GN95" s="134"/>
      <c r="GO95" s="134"/>
      <c r="GP95" s="134"/>
      <c r="GQ95" s="134"/>
      <c r="GR95" s="134"/>
      <c r="GS95" s="134"/>
      <c r="GT95" s="134"/>
      <c r="GU95" s="134"/>
      <c r="GV95" s="134"/>
      <c r="GW95" s="134"/>
      <c r="GX95" s="134"/>
      <c r="GY95" s="134"/>
      <c r="GZ95" s="134"/>
      <c r="HA95" s="134"/>
      <c r="HB95" s="134"/>
      <c r="HC95" s="134"/>
      <c r="HD95" s="134"/>
      <c r="HE95" s="134"/>
      <c r="HF95" s="134"/>
      <c r="HG95" s="134"/>
      <c r="HH95" s="134"/>
      <c r="HI95" s="134"/>
      <c r="HJ95" s="134"/>
      <c r="HK95" s="134"/>
      <c r="HL95" s="134"/>
      <c r="HM95" s="134"/>
      <c r="HN95" s="134"/>
      <c r="HO95" s="134"/>
      <c r="HP95" s="134"/>
      <c r="HQ95" s="134"/>
      <c r="HR95" s="134"/>
      <c r="HS95" s="134"/>
      <c r="HT95" s="134"/>
      <c r="HU95" s="134"/>
      <c r="HV95" s="134"/>
      <c r="HW95" s="134"/>
      <c r="HX95" s="134"/>
      <c r="HY95" s="134"/>
      <c r="HZ95" s="134"/>
      <c r="IA95" s="134"/>
      <c r="IB95" s="134"/>
      <c r="IC95" s="134"/>
      <c r="ID95" s="134"/>
      <c r="IE95" s="134"/>
      <c r="IF95" s="134"/>
      <c r="IG95" s="134"/>
      <c r="IH95" s="134"/>
      <c r="II95" s="134"/>
      <c r="IJ95" s="134"/>
      <c r="IK95" s="134"/>
      <c r="IL95" s="134"/>
      <c r="IM95" s="134"/>
      <c r="IN95" s="134"/>
      <c r="IO95" s="134"/>
      <c r="IP95" s="134"/>
      <c r="IQ95" s="134"/>
      <c r="IR95" s="134"/>
      <c r="IS95" s="134"/>
      <c r="IT95" s="134"/>
      <c r="IU95" s="134"/>
      <c r="IV95" s="134"/>
    </row>
    <row r="96" spans="1:256" x14ac:dyDescent="0.25">
      <c r="A96" s="112"/>
      <c r="B96" s="112"/>
      <c r="C96" s="112"/>
      <c r="D96" s="112"/>
    </row>
    <row r="99" spans="1:52" s="54" customFormat="1" x14ac:dyDescent="0.25">
      <c r="A99" s="113"/>
      <c r="B99" s="140" t="s">
        <v>103</v>
      </c>
      <c r="C99" s="141" t="s">
        <v>104</v>
      </c>
      <c r="D99" s="113"/>
      <c r="E99" s="127"/>
      <c r="F99" s="142"/>
      <c r="G99" s="142"/>
      <c r="H99" s="142"/>
      <c r="I99" s="127"/>
      <c r="J99" s="142"/>
      <c r="K99" s="142"/>
      <c r="L99" s="142"/>
      <c r="M99" s="127"/>
      <c r="N99" s="142"/>
      <c r="O99" s="142"/>
      <c r="P99" s="142"/>
      <c r="Q99" s="127"/>
      <c r="R99" s="142"/>
      <c r="S99" s="142"/>
      <c r="T99" s="142"/>
      <c r="U99" s="138"/>
      <c r="V99" s="142"/>
      <c r="W99" s="142"/>
      <c r="X99" s="142"/>
      <c r="Z99" s="169"/>
      <c r="AA99" s="169"/>
      <c r="AB99" s="169"/>
      <c r="AC99" s="135"/>
      <c r="AD99" s="169"/>
      <c r="AE99" s="169"/>
      <c r="AF99" s="169"/>
      <c r="AH99" s="169"/>
      <c r="AI99" s="169"/>
      <c r="AJ99" s="169"/>
      <c r="AL99" s="169"/>
      <c r="AM99" s="169"/>
      <c r="AN99" s="169"/>
      <c r="AP99" s="169"/>
      <c r="AQ99" s="169"/>
      <c r="AR99" s="169"/>
      <c r="AT99" s="169"/>
      <c r="AU99" s="169"/>
      <c r="AV99" s="169"/>
      <c r="AX99" s="169"/>
      <c r="AY99" s="169"/>
      <c r="AZ99" s="169"/>
    </row>
  </sheetData>
  <mergeCells count="16">
    <mergeCell ref="J2:L2"/>
    <mergeCell ref="A2:A3"/>
    <mergeCell ref="B2:B3"/>
    <mergeCell ref="C2:C3"/>
    <mergeCell ref="D2:D3"/>
    <mergeCell ref="F2:H2"/>
    <mergeCell ref="AD2:AF2"/>
    <mergeCell ref="N2:P2"/>
    <mergeCell ref="R2:T2"/>
    <mergeCell ref="V2:X2"/>
    <mergeCell ref="Z2:AB2"/>
    <mergeCell ref="AP2:AR2"/>
    <mergeCell ref="AT2:AV2"/>
    <mergeCell ref="AX2:AZ2"/>
    <mergeCell ref="AH2:AJ2"/>
    <mergeCell ref="AL2:AN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V84"/>
  <sheetViews>
    <sheetView zoomScaleNormal="100" workbookViewId="0">
      <pane xSplit="3" ySplit="3" topLeftCell="AB4" activePane="bottomRight" state="frozen"/>
      <selection activeCell="AY11" sqref="AY11"/>
      <selection pane="topRight" activeCell="AY11" sqref="AY11"/>
      <selection pane="bottomLeft" activeCell="AY11" sqref="AY11"/>
      <selection pane="bottomRight" activeCell="AY11" sqref="AY11"/>
    </sheetView>
  </sheetViews>
  <sheetFormatPr defaultColWidth="8.85546875" defaultRowHeight="15" x14ac:dyDescent="0.25"/>
  <cols>
    <col min="1" max="1" width="8.85546875" style="110"/>
    <col min="2" max="2" width="20.28515625" style="110" customWidth="1"/>
    <col min="3" max="3" width="43.42578125" style="110" bestFit="1" customWidth="1"/>
    <col min="4" max="4" width="11" style="111" customWidth="1"/>
    <col min="5" max="5" width="2.7109375" style="134" customWidth="1"/>
    <col min="6" max="6" width="9.140625" style="112" customWidth="1"/>
    <col min="7" max="7" width="7.7109375" style="112" customWidth="1"/>
    <col min="8" max="8" width="7.5703125" style="112" customWidth="1"/>
    <col min="9" max="9" width="2.7109375" style="134" customWidth="1"/>
    <col min="10" max="10" width="9.7109375" style="112" customWidth="1"/>
    <col min="11" max="11" width="7.7109375" style="112" customWidth="1"/>
    <col min="12" max="12" width="7.5703125" style="112" customWidth="1"/>
    <col min="13" max="13" width="2.7109375" style="134" customWidth="1"/>
    <col min="14" max="14" width="9.7109375" style="112" customWidth="1"/>
    <col min="15" max="15" width="7.7109375" style="112" customWidth="1"/>
    <col min="16" max="16" width="7.5703125" style="112" customWidth="1"/>
    <col min="17" max="17" width="2.7109375" style="134" customWidth="1"/>
    <col min="18" max="18" width="9.7109375" style="112" customWidth="1"/>
    <col min="19" max="19" width="7.7109375" style="112" customWidth="1"/>
    <col min="20" max="20" width="7.5703125" style="112" customWidth="1"/>
    <col min="21" max="21" width="2.7109375" style="134" customWidth="1"/>
    <col min="22" max="22" width="9.7109375" style="110" customWidth="1"/>
    <col min="23" max="24" width="8.85546875" style="110" customWidth="1"/>
    <col min="25" max="25" width="2.7109375" style="135" customWidth="1"/>
    <col min="26" max="26" width="9.7109375" style="110" bestFit="1" customWidth="1"/>
    <col min="27" max="28" width="8.85546875" style="110"/>
    <col min="29" max="29" width="2.7109375" style="135" customWidth="1"/>
    <col min="30" max="30" width="9.7109375" style="110" bestFit="1" customWidth="1"/>
    <col min="31" max="32" width="8.85546875" style="110"/>
    <col min="33" max="33" width="2.7109375" style="135" customWidth="1"/>
    <col min="34" max="34" width="9.7109375" style="110" bestFit="1" customWidth="1"/>
    <col min="35" max="36" width="8.85546875" style="110"/>
    <col min="37" max="37" width="2.7109375" style="135" customWidth="1"/>
    <col min="38" max="38" width="9.7109375" style="110" bestFit="1" customWidth="1"/>
    <col min="39" max="40" width="8.85546875" style="110"/>
    <col min="41" max="41" width="2.7109375" style="135" customWidth="1"/>
    <col min="42" max="42" width="9.7109375" style="110" bestFit="1" customWidth="1"/>
    <col min="43" max="44" width="8.85546875" style="110"/>
    <col min="45" max="45" width="2.7109375" style="135" customWidth="1"/>
    <col min="46" max="46" width="9.7109375" style="110" bestFit="1" customWidth="1"/>
    <col min="47" max="48" width="8.85546875" style="110"/>
    <col min="49" max="49" width="2.7109375" style="135" customWidth="1"/>
    <col min="50" max="50" width="9.7109375" style="110" bestFit="1" customWidth="1"/>
    <col min="51" max="52" width="8.85546875" style="110"/>
    <col min="53" max="257" width="8.85546875" style="135"/>
    <col min="258" max="258" width="20.28515625" style="135" customWidth="1"/>
    <col min="259" max="259" width="43.42578125" style="135" bestFit="1" customWidth="1"/>
    <col min="260" max="260" width="8.7109375" style="135" customWidth="1"/>
    <col min="261" max="261" width="2.7109375" style="135" customWidth="1"/>
    <col min="262" max="262" width="9.140625" style="135" bestFit="1" customWidth="1"/>
    <col min="263" max="263" width="7.7109375" style="135" bestFit="1" customWidth="1"/>
    <col min="264" max="264" width="7.5703125" style="135" bestFit="1" customWidth="1"/>
    <col min="265" max="265" width="2.7109375" style="135" customWidth="1"/>
    <col min="266" max="266" width="7.5703125" style="135" bestFit="1" customWidth="1"/>
    <col min="267" max="267" width="7.7109375" style="135" bestFit="1" customWidth="1"/>
    <col min="268" max="268" width="7.5703125" style="135" bestFit="1" customWidth="1"/>
    <col min="269" max="513" width="8.85546875" style="135"/>
    <col min="514" max="514" width="20.28515625" style="135" customWidth="1"/>
    <col min="515" max="515" width="43.42578125" style="135" bestFit="1" customWidth="1"/>
    <col min="516" max="516" width="8.7109375" style="135" customWidth="1"/>
    <col min="517" max="517" width="2.7109375" style="135" customWidth="1"/>
    <col min="518" max="518" width="9.140625" style="135" bestFit="1" customWidth="1"/>
    <col min="519" max="519" width="7.7109375" style="135" bestFit="1" customWidth="1"/>
    <col min="520" max="520" width="7.5703125" style="135" bestFit="1" customWidth="1"/>
    <col min="521" max="521" width="2.7109375" style="135" customWidth="1"/>
    <col min="522" max="522" width="7.5703125" style="135" bestFit="1" customWidth="1"/>
    <col min="523" max="523" width="7.7109375" style="135" bestFit="1" customWidth="1"/>
    <col min="524" max="524" width="7.5703125" style="135" bestFit="1" customWidth="1"/>
    <col min="525" max="769" width="8.85546875" style="135"/>
    <col min="770" max="770" width="20.28515625" style="135" customWidth="1"/>
    <col min="771" max="771" width="43.42578125" style="135" bestFit="1" customWidth="1"/>
    <col min="772" max="772" width="8.7109375" style="135" customWidth="1"/>
    <col min="773" max="773" width="2.7109375" style="135" customWidth="1"/>
    <col min="774" max="774" width="9.140625" style="135" bestFit="1" customWidth="1"/>
    <col min="775" max="775" width="7.7109375" style="135" bestFit="1" customWidth="1"/>
    <col min="776" max="776" width="7.5703125" style="135" bestFit="1" customWidth="1"/>
    <col min="777" max="777" width="2.7109375" style="135" customWidth="1"/>
    <col min="778" max="778" width="7.5703125" style="135" bestFit="1" customWidth="1"/>
    <col min="779" max="779" width="7.7109375" style="135" bestFit="1" customWidth="1"/>
    <col min="780" max="780" width="7.5703125" style="135" bestFit="1" customWidth="1"/>
    <col min="781" max="1025" width="8.85546875" style="135"/>
    <col min="1026" max="1026" width="20.28515625" style="135" customWidth="1"/>
    <col min="1027" max="1027" width="43.42578125" style="135" bestFit="1" customWidth="1"/>
    <col min="1028" max="1028" width="8.7109375" style="135" customWidth="1"/>
    <col min="1029" max="1029" width="2.7109375" style="135" customWidth="1"/>
    <col min="1030" max="1030" width="9.140625" style="135" bestFit="1" customWidth="1"/>
    <col min="1031" max="1031" width="7.7109375" style="135" bestFit="1" customWidth="1"/>
    <col min="1032" max="1032" width="7.5703125" style="135" bestFit="1" customWidth="1"/>
    <col min="1033" max="1033" width="2.7109375" style="135" customWidth="1"/>
    <col min="1034" max="1034" width="7.5703125" style="135" bestFit="1" customWidth="1"/>
    <col min="1035" max="1035" width="7.7109375" style="135" bestFit="1" customWidth="1"/>
    <col min="1036" max="1036" width="7.5703125" style="135" bestFit="1" customWidth="1"/>
    <col min="1037" max="1281" width="8.85546875" style="135"/>
    <col min="1282" max="1282" width="20.28515625" style="135" customWidth="1"/>
    <col min="1283" max="1283" width="43.42578125" style="135" bestFit="1" customWidth="1"/>
    <col min="1284" max="1284" width="8.7109375" style="135" customWidth="1"/>
    <col min="1285" max="1285" width="2.7109375" style="135" customWidth="1"/>
    <col min="1286" max="1286" width="9.140625" style="135" bestFit="1" customWidth="1"/>
    <col min="1287" max="1287" width="7.7109375" style="135" bestFit="1" customWidth="1"/>
    <col min="1288" max="1288" width="7.5703125" style="135" bestFit="1" customWidth="1"/>
    <col min="1289" max="1289" width="2.7109375" style="135" customWidth="1"/>
    <col min="1290" max="1290" width="7.5703125" style="135" bestFit="1" customWidth="1"/>
    <col min="1291" max="1291" width="7.7109375" style="135" bestFit="1" customWidth="1"/>
    <col min="1292" max="1292" width="7.5703125" style="135" bestFit="1" customWidth="1"/>
    <col min="1293" max="1537" width="8.85546875" style="135"/>
    <col min="1538" max="1538" width="20.28515625" style="135" customWidth="1"/>
    <col min="1539" max="1539" width="43.42578125" style="135" bestFit="1" customWidth="1"/>
    <col min="1540" max="1540" width="8.7109375" style="135" customWidth="1"/>
    <col min="1541" max="1541" width="2.7109375" style="135" customWidth="1"/>
    <col min="1542" max="1542" width="9.140625" style="135" bestFit="1" customWidth="1"/>
    <col min="1543" max="1543" width="7.7109375" style="135" bestFit="1" customWidth="1"/>
    <col min="1544" max="1544" width="7.5703125" style="135" bestFit="1" customWidth="1"/>
    <col min="1545" max="1545" width="2.7109375" style="135" customWidth="1"/>
    <col min="1546" max="1546" width="7.5703125" style="135" bestFit="1" customWidth="1"/>
    <col min="1547" max="1547" width="7.7109375" style="135" bestFit="1" customWidth="1"/>
    <col min="1548" max="1548" width="7.5703125" style="135" bestFit="1" customWidth="1"/>
    <col min="1549" max="1793" width="8.85546875" style="135"/>
    <col min="1794" max="1794" width="20.28515625" style="135" customWidth="1"/>
    <col min="1795" max="1795" width="43.42578125" style="135" bestFit="1" customWidth="1"/>
    <col min="1796" max="1796" width="8.7109375" style="135" customWidth="1"/>
    <col min="1797" max="1797" width="2.7109375" style="135" customWidth="1"/>
    <col min="1798" max="1798" width="9.140625" style="135" bestFit="1" customWidth="1"/>
    <col min="1799" max="1799" width="7.7109375" style="135" bestFit="1" customWidth="1"/>
    <col min="1800" max="1800" width="7.5703125" style="135" bestFit="1" customWidth="1"/>
    <col min="1801" max="1801" width="2.7109375" style="135" customWidth="1"/>
    <col min="1802" max="1802" width="7.5703125" style="135" bestFit="1" customWidth="1"/>
    <col min="1803" max="1803" width="7.7109375" style="135" bestFit="1" customWidth="1"/>
    <col min="1804" max="1804" width="7.5703125" style="135" bestFit="1" customWidth="1"/>
    <col min="1805" max="2049" width="8.85546875" style="135"/>
    <col min="2050" max="2050" width="20.28515625" style="135" customWidth="1"/>
    <col min="2051" max="2051" width="43.42578125" style="135" bestFit="1" customWidth="1"/>
    <col min="2052" max="2052" width="8.7109375" style="135" customWidth="1"/>
    <col min="2053" max="2053" width="2.7109375" style="135" customWidth="1"/>
    <col min="2054" max="2054" width="9.140625" style="135" bestFit="1" customWidth="1"/>
    <col min="2055" max="2055" width="7.7109375" style="135" bestFit="1" customWidth="1"/>
    <col min="2056" max="2056" width="7.5703125" style="135" bestFit="1" customWidth="1"/>
    <col min="2057" max="2057" width="2.7109375" style="135" customWidth="1"/>
    <col min="2058" max="2058" width="7.5703125" style="135" bestFit="1" customWidth="1"/>
    <col min="2059" max="2059" width="7.7109375" style="135" bestFit="1" customWidth="1"/>
    <col min="2060" max="2060" width="7.5703125" style="135" bestFit="1" customWidth="1"/>
    <col min="2061" max="2305" width="8.85546875" style="135"/>
    <col min="2306" max="2306" width="20.28515625" style="135" customWidth="1"/>
    <col min="2307" max="2307" width="43.42578125" style="135" bestFit="1" customWidth="1"/>
    <col min="2308" max="2308" width="8.7109375" style="135" customWidth="1"/>
    <col min="2309" max="2309" width="2.7109375" style="135" customWidth="1"/>
    <col min="2310" max="2310" width="9.140625" style="135" bestFit="1" customWidth="1"/>
    <col min="2311" max="2311" width="7.7109375" style="135" bestFit="1" customWidth="1"/>
    <col min="2312" max="2312" width="7.5703125" style="135" bestFit="1" customWidth="1"/>
    <col min="2313" max="2313" width="2.7109375" style="135" customWidth="1"/>
    <col min="2314" max="2314" width="7.5703125" style="135" bestFit="1" customWidth="1"/>
    <col min="2315" max="2315" width="7.7109375" style="135" bestFit="1" customWidth="1"/>
    <col min="2316" max="2316" width="7.5703125" style="135" bestFit="1" customWidth="1"/>
    <col min="2317" max="2561" width="8.85546875" style="135"/>
    <col min="2562" max="2562" width="20.28515625" style="135" customWidth="1"/>
    <col min="2563" max="2563" width="43.42578125" style="135" bestFit="1" customWidth="1"/>
    <col min="2564" max="2564" width="8.7109375" style="135" customWidth="1"/>
    <col min="2565" max="2565" width="2.7109375" style="135" customWidth="1"/>
    <col min="2566" max="2566" width="9.140625" style="135" bestFit="1" customWidth="1"/>
    <col min="2567" max="2567" width="7.7109375" style="135" bestFit="1" customWidth="1"/>
    <col min="2568" max="2568" width="7.5703125" style="135" bestFit="1" customWidth="1"/>
    <col min="2569" max="2569" width="2.7109375" style="135" customWidth="1"/>
    <col min="2570" max="2570" width="7.5703125" style="135" bestFit="1" customWidth="1"/>
    <col min="2571" max="2571" width="7.7109375" style="135" bestFit="1" customWidth="1"/>
    <col min="2572" max="2572" width="7.5703125" style="135" bestFit="1" customWidth="1"/>
    <col min="2573" max="2817" width="8.85546875" style="135"/>
    <col min="2818" max="2818" width="20.28515625" style="135" customWidth="1"/>
    <col min="2819" max="2819" width="43.42578125" style="135" bestFit="1" customWidth="1"/>
    <col min="2820" max="2820" width="8.7109375" style="135" customWidth="1"/>
    <col min="2821" max="2821" width="2.7109375" style="135" customWidth="1"/>
    <col min="2822" max="2822" width="9.140625" style="135" bestFit="1" customWidth="1"/>
    <col min="2823" max="2823" width="7.7109375" style="135" bestFit="1" customWidth="1"/>
    <col min="2824" max="2824" width="7.5703125" style="135" bestFit="1" customWidth="1"/>
    <col min="2825" max="2825" width="2.7109375" style="135" customWidth="1"/>
    <col min="2826" max="2826" width="7.5703125" style="135" bestFit="1" customWidth="1"/>
    <col min="2827" max="2827" width="7.7109375" style="135" bestFit="1" customWidth="1"/>
    <col min="2828" max="2828" width="7.5703125" style="135" bestFit="1" customWidth="1"/>
    <col min="2829" max="3073" width="8.85546875" style="135"/>
    <col min="3074" max="3074" width="20.28515625" style="135" customWidth="1"/>
    <col min="3075" max="3075" width="43.42578125" style="135" bestFit="1" customWidth="1"/>
    <col min="3076" max="3076" width="8.7109375" style="135" customWidth="1"/>
    <col min="3077" max="3077" width="2.7109375" style="135" customWidth="1"/>
    <col min="3078" max="3078" width="9.140625" style="135" bestFit="1" customWidth="1"/>
    <col min="3079" max="3079" width="7.7109375" style="135" bestFit="1" customWidth="1"/>
    <col min="3080" max="3080" width="7.5703125" style="135" bestFit="1" customWidth="1"/>
    <col min="3081" max="3081" width="2.7109375" style="135" customWidth="1"/>
    <col min="3082" max="3082" width="7.5703125" style="135" bestFit="1" customWidth="1"/>
    <col min="3083" max="3083" width="7.7109375" style="135" bestFit="1" customWidth="1"/>
    <col min="3084" max="3084" width="7.5703125" style="135" bestFit="1" customWidth="1"/>
    <col min="3085" max="3329" width="8.85546875" style="135"/>
    <col min="3330" max="3330" width="20.28515625" style="135" customWidth="1"/>
    <col min="3331" max="3331" width="43.42578125" style="135" bestFit="1" customWidth="1"/>
    <col min="3332" max="3332" width="8.7109375" style="135" customWidth="1"/>
    <col min="3333" max="3333" width="2.7109375" style="135" customWidth="1"/>
    <col min="3334" max="3334" width="9.140625" style="135" bestFit="1" customWidth="1"/>
    <col min="3335" max="3335" width="7.7109375" style="135" bestFit="1" customWidth="1"/>
    <col min="3336" max="3336" width="7.5703125" style="135" bestFit="1" customWidth="1"/>
    <col min="3337" max="3337" width="2.7109375" style="135" customWidth="1"/>
    <col min="3338" max="3338" width="7.5703125" style="135" bestFit="1" customWidth="1"/>
    <col min="3339" max="3339" width="7.7109375" style="135" bestFit="1" customWidth="1"/>
    <col min="3340" max="3340" width="7.5703125" style="135" bestFit="1" customWidth="1"/>
    <col min="3341" max="3585" width="8.85546875" style="135"/>
    <col min="3586" max="3586" width="20.28515625" style="135" customWidth="1"/>
    <col min="3587" max="3587" width="43.42578125" style="135" bestFit="1" customWidth="1"/>
    <col min="3588" max="3588" width="8.7109375" style="135" customWidth="1"/>
    <col min="3589" max="3589" width="2.7109375" style="135" customWidth="1"/>
    <col min="3590" max="3590" width="9.140625" style="135" bestFit="1" customWidth="1"/>
    <col min="3591" max="3591" width="7.7109375" style="135" bestFit="1" customWidth="1"/>
    <col min="3592" max="3592" width="7.5703125" style="135" bestFit="1" customWidth="1"/>
    <col min="3593" max="3593" width="2.7109375" style="135" customWidth="1"/>
    <col min="3594" max="3594" width="7.5703125" style="135" bestFit="1" customWidth="1"/>
    <col min="3595" max="3595" width="7.7109375" style="135" bestFit="1" customWidth="1"/>
    <col min="3596" max="3596" width="7.5703125" style="135" bestFit="1" customWidth="1"/>
    <col min="3597" max="3841" width="8.85546875" style="135"/>
    <col min="3842" max="3842" width="20.28515625" style="135" customWidth="1"/>
    <col min="3843" max="3843" width="43.42578125" style="135" bestFit="1" customWidth="1"/>
    <col min="3844" max="3844" width="8.7109375" style="135" customWidth="1"/>
    <col min="3845" max="3845" width="2.7109375" style="135" customWidth="1"/>
    <col min="3846" max="3846" width="9.140625" style="135" bestFit="1" customWidth="1"/>
    <col min="3847" max="3847" width="7.7109375" style="135" bestFit="1" customWidth="1"/>
    <col min="3848" max="3848" width="7.5703125" style="135" bestFit="1" customWidth="1"/>
    <col min="3849" max="3849" width="2.7109375" style="135" customWidth="1"/>
    <col min="3850" max="3850" width="7.5703125" style="135" bestFit="1" customWidth="1"/>
    <col min="3851" max="3851" width="7.7109375" style="135" bestFit="1" customWidth="1"/>
    <col min="3852" max="3852" width="7.5703125" style="135" bestFit="1" customWidth="1"/>
    <col min="3853" max="4097" width="8.85546875" style="135"/>
    <col min="4098" max="4098" width="20.28515625" style="135" customWidth="1"/>
    <col min="4099" max="4099" width="43.42578125" style="135" bestFit="1" customWidth="1"/>
    <col min="4100" max="4100" width="8.7109375" style="135" customWidth="1"/>
    <col min="4101" max="4101" width="2.7109375" style="135" customWidth="1"/>
    <col min="4102" max="4102" width="9.140625" style="135" bestFit="1" customWidth="1"/>
    <col min="4103" max="4103" width="7.7109375" style="135" bestFit="1" customWidth="1"/>
    <col min="4104" max="4104" width="7.5703125" style="135" bestFit="1" customWidth="1"/>
    <col min="4105" max="4105" width="2.7109375" style="135" customWidth="1"/>
    <col min="4106" max="4106" width="7.5703125" style="135" bestFit="1" customWidth="1"/>
    <col min="4107" max="4107" width="7.7109375" style="135" bestFit="1" customWidth="1"/>
    <col min="4108" max="4108" width="7.5703125" style="135" bestFit="1" customWidth="1"/>
    <col min="4109" max="4353" width="8.85546875" style="135"/>
    <col min="4354" max="4354" width="20.28515625" style="135" customWidth="1"/>
    <col min="4355" max="4355" width="43.42578125" style="135" bestFit="1" customWidth="1"/>
    <col min="4356" max="4356" width="8.7109375" style="135" customWidth="1"/>
    <col min="4357" max="4357" width="2.7109375" style="135" customWidth="1"/>
    <col min="4358" max="4358" width="9.140625" style="135" bestFit="1" customWidth="1"/>
    <col min="4359" max="4359" width="7.7109375" style="135" bestFit="1" customWidth="1"/>
    <col min="4360" max="4360" width="7.5703125" style="135" bestFit="1" customWidth="1"/>
    <col min="4361" max="4361" width="2.7109375" style="135" customWidth="1"/>
    <col min="4362" max="4362" width="7.5703125" style="135" bestFit="1" customWidth="1"/>
    <col min="4363" max="4363" width="7.7109375" style="135" bestFit="1" customWidth="1"/>
    <col min="4364" max="4364" width="7.5703125" style="135" bestFit="1" customWidth="1"/>
    <col min="4365" max="4609" width="8.85546875" style="135"/>
    <col min="4610" max="4610" width="20.28515625" style="135" customWidth="1"/>
    <col min="4611" max="4611" width="43.42578125" style="135" bestFit="1" customWidth="1"/>
    <col min="4612" max="4612" width="8.7109375" style="135" customWidth="1"/>
    <col min="4613" max="4613" width="2.7109375" style="135" customWidth="1"/>
    <col min="4614" max="4614" width="9.140625" style="135" bestFit="1" customWidth="1"/>
    <col min="4615" max="4615" width="7.7109375" style="135" bestFit="1" customWidth="1"/>
    <col min="4616" max="4616" width="7.5703125" style="135" bestFit="1" customWidth="1"/>
    <col min="4617" max="4617" width="2.7109375" style="135" customWidth="1"/>
    <col min="4618" max="4618" width="7.5703125" style="135" bestFit="1" customWidth="1"/>
    <col min="4619" max="4619" width="7.7109375" style="135" bestFit="1" customWidth="1"/>
    <col min="4620" max="4620" width="7.5703125" style="135" bestFit="1" customWidth="1"/>
    <col min="4621" max="4865" width="8.85546875" style="135"/>
    <col min="4866" max="4866" width="20.28515625" style="135" customWidth="1"/>
    <col min="4867" max="4867" width="43.42578125" style="135" bestFit="1" customWidth="1"/>
    <col min="4868" max="4868" width="8.7109375" style="135" customWidth="1"/>
    <col min="4869" max="4869" width="2.7109375" style="135" customWidth="1"/>
    <col min="4870" max="4870" width="9.140625" style="135" bestFit="1" customWidth="1"/>
    <col min="4871" max="4871" width="7.7109375" style="135" bestFit="1" customWidth="1"/>
    <col min="4872" max="4872" width="7.5703125" style="135" bestFit="1" customWidth="1"/>
    <col min="4873" max="4873" width="2.7109375" style="135" customWidth="1"/>
    <col min="4874" max="4874" width="7.5703125" style="135" bestFit="1" customWidth="1"/>
    <col min="4875" max="4875" width="7.7109375" style="135" bestFit="1" customWidth="1"/>
    <col min="4876" max="4876" width="7.5703125" style="135" bestFit="1" customWidth="1"/>
    <col min="4877" max="5121" width="8.85546875" style="135"/>
    <col min="5122" max="5122" width="20.28515625" style="135" customWidth="1"/>
    <col min="5123" max="5123" width="43.42578125" style="135" bestFit="1" customWidth="1"/>
    <col min="5124" max="5124" width="8.7109375" style="135" customWidth="1"/>
    <col min="5125" max="5125" width="2.7109375" style="135" customWidth="1"/>
    <col min="5126" max="5126" width="9.140625" style="135" bestFit="1" customWidth="1"/>
    <col min="5127" max="5127" width="7.7109375" style="135" bestFit="1" customWidth="1"/>
    <col min="5128" max="5128" width="7.5703125" style="135" bestFit="1" customWidth="1"/>
    <col min="5129" max="5129" width="2.7109375" style="135" customWidth="1"/>
    <col min="5130" max="5130" width="7.5703125" style="135" bestFit="1" customWidth="1"/>
    <col min="5131" max="5131" width="7.7109375" style="135" bestFit="1" customWidth="1"/>
    <col min="5132" max="5132" width="7.5703125" style="135" bestFit="1" customWidth="1"/>
    <col min="5133" max="5377" width="8.85546875" style="135"/>
    <col min="5378" max="5378" width="20.28515625" style="135" customWidth="1"/>
    <col min="5379" max="5379" width="43.42578125" style="135" bestFit="1" customWidth="1"/>
    <col min="5380" max="5380" width="8.7109375" style="135" customWidth="1"/>
    <col min="5381" max="5381" width="2.7109375" style="135" customWidth="1"/>
    <col min="5382" max="5382" width="9.140625" style="135" bestFit="1" customWidth="1"/>
    <col min="5383" max="5383" width="7.7109375" style="135" bestFit="1" customWidth="1"/>
    <col min="5384" max="5384" width="7.5703125" style="135" bestFit="1" customWidth="1"/>
    <col min="5385" max="5385" width="2.7109375" style="135" customWidth="1"/>
    <col min="5386" max="5386" width="7.5703125" style="135" bestFit="1" customWidth="1"/>
    <col min="5387" max="5387" width="7.7109375" style="135" bestFit="1" customWidth="1"/>
    <col min="5388" max="5388" width="7.5703125" style="135" bestFit="1" customWidth="1"/>
    <col min="5389" max="5633" width="8.85546875" style="135"/>
    <col min="5634" max="5634" width="20.28515625" style="135" customWidth="1"/>
    <col min="5635" max="5635" width="43.42578125" style="135" bestFit="1" customWidth="1"/>
    <col min="5636" max="5636" width="8.7109375" style="135" customWidth="1"/>
    <col min="5637" max="5637" width="2.7109375" style="135" customWidth="1"/>
    <col min="5638" max="5638" width="9.140625" style="135" bestFit="1" customWidth="1"/>
    <col min="5639" max="5639" width="7.7109375" style="135" bestFit="1" customWidth="1"/>
    <col min="5640" max="5640" width="7.5703125" style="135" bestFit="1" customWidth="1"/>
    <col min="5641" max="5641" width="2.7109375" style="135" customWidth="1"/>
    <col min="5642" max="5642" width="7.5703125" style="135" bestFit="1" customWidth="1"/>
    <col min="5643" max="5643" width="7.7109375" style="135" bestFit="1" customWidth="1"/>
    <col min="5644" max="5644" width="7.5703125" style="135" bestFit="1" customWidth="1"/>
    <col min="5645" max="5889" width="8.85546875" style="135"/>
    <col min="5890" max="5890" width="20.28515625" style="135" customWidth="1"/>
    <col min="5891" max="5891" width="43.42578125" style="135" bestFit="1" customWidth="1"/>
    <col min="5892" max="5892" width="8.7109375" style="135" customWidth="1"/>
    <col min="5893" max="5893" width="2.7109375" style="135" customWidth="1"/>
    <col min="5894" max="5894" width="9.140625" style="135" bestFit="1" customWidth="1"/>
    <col min="5895" max="5895" width="7.7109375" style="135" bestFit="1" customWidth="1"/>
    <col min="5896" max="5896" width="7.5703125" style="135" bestFit="1" customWidth="1"/>
    <col min="5897" max="5897" width="2.7109375" style="135" customWidth="1"/>
    <col min="5898" max="5898" width="7.5703125" style="135" bestFit="1" customWidth="1"/>
    <col min="5899" max="5899" width="7.7109375" style="135" bestFit="1" customWidth="1"/>
    <col min="5900" max="5900" width="7.5703125" style="135" bestFit="1" customWidth="1"/>
    <col min="5901" max="6145" width="8.85546875" style="135"/>
    <col min="6146" max="6146" width="20.28515625" style="135" customWidth="1"/>
    <col min="6147" max="6147" width="43.42578125" style="135" bestFit="1" customWidth="1"/>
    <col min="6148" max="6148" width="8.7109375" style="135" customWidth="1"/>
    <col min="6149" max="6149" width="2.7109375" style="135" customWidth="1"/>
    <col min="6150" max="6150" width="9.140625" style="135" bestFit="1" customWidth="1"/>
    <col min="6151" max="6151" width="7.7109375" style="135" bestFit="1" customWidth="1"/>
    <col min="6152" max="6152" width="7.5703125" style="135" bestFit="1" customWidth="1"/>
    <col min="6153" max="6153" width="2.7109375" style="135" customWidth="1"/>
    <col min="6154" max="6154" width="7.5703125" style="135" bestFit="1" customWidth="1"/>
    <col min="6155" max="6155" width="7.7109375" style="135" bestFit="1" customWidth="1"/>
    <col min="6156" max="6156" width="7.5703125" style="135" bestFit="1" customWidth="1"/>
    <col min="6157" max="6401" width="8.85546875" style="135"/>
    <col min="6402" max="6402" width="20.28515625" style="135" customWidth="1"/>
    <col min="6403" max="6403" width="43.42578125" style="135" bestFit="1" customWidth="1"/>
    <col min="6404" max="6404" width="8.7109375" style="135" customWidth="1"/>
    <col min="6405" max="6405" width="2.7109375" style="135" customWidth="1"/>
    <col min="6406" max="6406" width="9.140625" style="135" bestFit="1" customWidth="1"/>
    <col min="6407" max="6407" width="7.7109375" style="135" bestFit="1" customWidth="1"/>
    <col min="6408" max="6408" width="7.5703125" style="135" bestFit="1" customWidth="1"/>
    <col min="6409" max="6409" width="2.7109375" style="135" customWidth="1"/>
    <col min="6410" max="6410" width="7.5703125" style="135" bestFit="1" customWidth="1"/>
    <col min="6411" max="6411" width="7.7109375" style="135" bestFit="1" customWidth="1"/>
    <col min="6412" max="6412" width="7.5703125" style="135" bestFit="1" customWidth="1"/>
    <col min="6413" max="6657" width="8.85546875" style="135"/>
    <col min="6658" max="6658" width="20.28515625" style="135" customWidth="1"/>
    <col min="6659" max="6659" width="43.42578125" style="135" bestFit="1" customWidth="1"/>
    <col min="6660" max="6660" width="8.7109375" style="135" customWidth="1"/>
    <col min="6661" max="6661" width="2.7109375" style="135" customWidth="1"/>
    <col min="6662" max="6662" width="9.140625" style="135" bestFit="1" customWidth="1"/>
    <col min="6663" max="6663" width="7.7109375" style="135" bestFit="1" customWidth="1"/>
    <col min="6664" max="6664" width="7.5703125" style="135" bestFit="1" customWidth="1"/>
    <col min="6665" max="6665" width="2.7109375" style="135" customWidth="1"/>
    <col min="6666" max="6666" width="7.5703125" style="135" bestFit="1" customWidth="1"/>
    <col min="6667" max="6667" width="7.7109375" style="135" bestFit="1" customWidth="1"/>
    <col min="6668" max="6668" width="7.5703125" style="135" bestFit="1" customWidth="1"/>
    <col min="6669" max="6913" width="8.85546875" style="135"/>
    <col min="6914" max="6914" width="20.28515625" style="135" customWidth="1"/>
    <col min="6915" max="6915" width="43.42578125" style="135" bestFit="1" customWidth="1"/>
    <col min="6916" max="6916" width="8.7109375" style="135" customWidth="1"/>
    <col min="6917" max="6917" width="2.7109375" style="135" customWidth="1"/>
    <col min="6918" max="6918" width="9.140625" style="135" bestFit="1" customWidth="1"/>
    <col min="6919" max="6919" width="7.7109375" style="135" bestFit="1" customWidth="1"/>
    <col min="6920" max="6920" width="7.5703125" style="135" bestFit="1" customWidth="1"/>
    <col min="6921" max="6921" width="2.7109375" style="135" customWidth="1"/>
    <col min="6922" max="6922" width="7.5703125" style="135" bestFit="1" customWidth="1"/>
    <col min="6923" max="6923" width="7.7109375" style="135" bestFit="1" customWidth="1"/>
    <col min="6924" max="6924" width="7.5703125" style="135" bestFit="1" customWidth="1"/>
    <col min="6925" max="7169" width="8.85546875" style="135"/>
    <col min="7170" max="7170" width="20.28515625" style="135" customWidth="1"/>
    <col min="7171" max="7171" width="43.42578125" style="135" bestFit="1" customWidth="1"/>
    <col min="7172" max="7172" width="8.7109375" style="135" customWidth="1"/>
    <col min="7173" max="7173" width="2.7109375" style="135" customWidth="1"/>
    <col min="7174" max="7174" width="9.140625" style="135" bestFit="1" customWidth="1"/>
    <col min="7175" max="7175" width="7.7109375" style="135" bestFit="1" customWidth="1"/>
    <col min="7176" max="7176" width="7.5703125" style="135" bestFit="1" customWidth="1"/>
    <col min="7177" max="7177" width="2.7109375" style="135" customWidth="1"/>
    <col min="7178" max="7178" width="7.5703125" style="135" bestFit="1" customWidth="1"/>
    <col min="7179" max="7179" width="7.7109375" style="135" bestFit="1" customWidth="1"/>
    <col min="7180" max="7180" width="7.5703125" style="135" bestFit="1" customWidth="1"/>
    <col min="7181" max="7425" width="8.85546875" style="135"/>
    <col min="7426" max="7426" width="20.28515625" style="135" customWidth="1"/>
    <col min="7427" max="7427" width="43.42578125" style="135" bestFit="1" customWidth="1"/>
    <col min="7428" max="7428" width="8.7109375" style="135" customWidth="1"/>
    <col min="7429" max="7429" width="2.7109375" style="135" customWidth="1"/>
    <col min="7430" max="7430" width="9.140625" style="135" bestFit="1" customWidth="1"/>
    <col min="7431" max="7431" width="7.7109375" style="135" bestFit="1" customWidth="1"/>
    <col min="7432" max="7432" width="7.5703125" style="135" bestFit="1" customWidth="1"/>
    <col min="7433" max="7433" width="2.7109375" style="135" customWidth="1"/>
    <col min="7434" max="7434" width="7.5703125" style="135" bestFit="1" customWidth="1"/>
    <col min="7435" max="7435" width="7.7109375" style="135" bestFit="1" customWidth="1"/>
    <col min="7436" max="7436" width="7.5703125" style="135" bestFit="1" customWidth="1"/>
    <col min="7437" max="7681" width="8.85546875" style="135"/>
    <col min="7682" max="7682" width="20.28515625" style="135" customWidth="1"/>
    <col min="7683" max="7683" width="43.42578125" style="135" bestFit="1" customWidth="1"/>
    <col min="7684" max="7684" width="8.7109375" style="135" customWidth="1"/>
    <col min="7685" max="7685" width="2.7109375" style="135" customWidth="1"/>
    <col min="7686" max="7686" width="9.140625" style="135" bestFit="1" customWidth="1"/>
    <col min="7687" max="7687" width="7.7109375" style="135" bestFit="1" customWidth="1"/>
    <col min="7688" max="7688" width="7.5703125" style="135" bestFit="1" customWidth="1"/>
    <col min="7689" max="7689" width="2.7109375" style="135" customWidth="1"/>
    <col min="7690" max="7690" width="7.5703125" style="135" bestFit="1" customWidth="1"/>
    <col min="7691" max="7691" width="7.7109375" style="135" bestFit="1" customWidth="1"/>
    <col min="7692" max="7692" width="7.5703125" style="135" bestFit="1" customWidth="1"/>
    <col min="7693" max="7937" width="8.85546875" style="135"/>
    <col min="7938" max="7938" width="20.28515625" style="135" customWidth="1"/>
    <col min="7939" max="7939" width="43.42578125" style="135" bestFit="1" customWidth="1"/>
    <col min="7940" max="7940" width="8.7109375" style="135" customWidth="1"/>
    <col min="7941" max="7941" width="2.7109375" style="135" customWidth="1"/>
    <col min="7942" max="7942" width="9.140625" style="135" bestFit="1" customWidth="1"/>
    <col min="7943" max="7943" width="7.7109375" style="135" bestFit="1" customWidth="1"/>
    <col min="7944" max="7944" width="7.5703125" style="135" bestFit="1" customWidth="1"/>
    <col min="7945" max="7945" width="2.7109375" style="135" customWidth="1"/>
    <col min="7946" max="7946" width="7.5703125" style="135" bestFit="1" customWidth="1"/>
    <col min="7947" max="7947" width="7.7109375" style="135" bestFit="1" customWidth="1"/>
    <col min="7948" max="7948" width="7.5703125" style="135" bestFit="1" customWidth="1"/>
    <col min="7949" max="8193" width="8.85546875" style="135"/>
    <col min="8194" max="8194" width="20.28515625" style="135" customWidth="1"/>
    <col min="8195" max="8195" width="43.42578125" style="135" bestFit="1" customWidth="1"/>
    <col min="8196" max="8196" width="8.7109375" style="135" customWidth="1"/>
    <col min="8197" max="8197" width="2.7109375" style="135" customWidth="1"/>
    <col min="8198" max="8198" width="9.140625" style="135" bestFit="1" customWidth="1"/>
    <col min="8199" max="8199" width="7.7109375" style="135" bestFit="1" customWidth="1"/>
    <col min="8200" max="8200" width="7.5703125" style="135" bestFit="1" customWidth="1"/>
    <col min="8201" max="8201" width="2.7109375" style="135" customWidth="1"/>
    <col min="8202" max="8202" width="7.5703125" style="135" bestFit="1" customWidth="1"/>
    <col min="8203" max="8203" width="7.7109375" style="135" bestFit="1" customWidth="1"/>
    <col min="8204" max="8204" width="7.5703125" style="135" bestFit="1" customWidth="1"/>
    <col min="8205" max="8449" width="8.85546875" style="135"/>
    <col min="8450" max="8450" width="20.28515625" style="135" customWidth="1"/>
    <col min="8451" max="8451" width="43.42578125" style="135" bestFit="1" customWidth="1"/>
    <col min="8452" max="8452" width="8.7109375" style="135" customWidth="1"/>
    <col min="8453" max="8453" width="2.7109375" style="135" customWidth="1"/>
    <col min="8454" max="8454" width="9.140625" style="135" bestFit="1" customWidth="1"/>
    <col min="8455" max="8455" width="7.7109375" style="135" bestFit="1" customWidth="1"/>
    <col min="8456" max="8456" width="7.5703125" style="135" bestFit="1" customWidth="1"/>
    <col min="8457" max="8457" width="2.7109375" style="135" customWidth="1"/>
    <col min="8458" max="8458" width="7.5703125" style="135" bestFit="1" customWidth="1"/>
    <col min="8459" max="8459" width="7.7109375" style="135" bestFit="1" customWidth="1"/>
    <col min="8460" max="8460" width="7.5703125" style="135" bestFit="1" customWidth="1"/>
    <col min="8461" max="8705" width="8.85546875" style="135"/>
    <col min="8706" max="8706" width="20.28515625" style="135" customWidth="1"/>
    <col min="8707" max="8707" width="43.42578125" style="135" bestFit="1" customWidth="1"/>
    <col min="8708" max="8708" width="8.7109375" style="135" customWidth="1"/>
    <col min="8709" max="8709" width="2.7109375" style="135" customWidth="1"/>
    <col min="8710" max="8710" width="9.140625" style="135" bestFit="1" customWidth="1"/>
    <col min="8711" max="8711" width="7.7109375" style="135" bestFit="1" customWidth="1"/>
    <col min="8712" max="8712" width="7.5703125" style="135" bestFit="1" customWidth="1"/>
    <col min="8713" max="8713" width="2.7109375" style="135" customWidth="1"/>
    <col min="8714" max="8714" width="7.5703125" style="135" bestFit="1" customWidth="1"/>
    <col min="8715" max="8715" width="7.7109375" style="135" bestFit="1" customWidth="1"/>
    <col min="8716" max="8716" width="7.5703125" style="135" bestFit="1" customWidth="1"/>
    <col min="8717" max="8961" width="8.85546875" style="135"/>
    <col min="8962" max="8962" width="20.28515625" style="135" customWidth="1"/>
    <col min="8963" max="8963" width="43.42578125" style="135" bestFit="1" customWidth="1"/>
    <col min="8964" max="8964" width="8.7109375" style="135" customWidth="1"/>
    <col min="8965" max="8965" width="2.7109375" style="135" customWidth="1"/>
    <col min="8966" max="8966" width="9.140625" style="135" bestFit="1" customWidth="1"/>
    <col min="8967" max="8967" width="7.7109375" style="135" bestFit="1" customWidth="1"/>
    <col min="8968" max="8968" width="7.5703125" style="135" bestFit="1" customWidth="1"/>
    <col min="8969" max="8969" width="2.7109375" style="135" customWidth="1"/>
    <col min="8970" max="8970" width="7.5703125" style="135" bestFit="1" customWidth="1"/>
    <col min="8971" max="8971" width="7.7109375" style="135" bestFit="1" customWidth="1"/>
    <col min="8972" max="8972" width="7.5703125" style="135" bestFit="1" customWidth="1"/>
    <col min="8973" max="9217" width="8.85546875" style="135"/>
    <col min="9218" max="9218" width="20.28515625" style="135" customWidth="1"/>
    <col min="9219" max="9219" width="43.42578125" style="135" bestFit="1" customWidth="1"/>
    <col min="9220" max="9220" width="8.7109375" style="135" customWidth="1"/>
    <col min="9221" max="9221" width="2.7109375" style="135" customWidth="1"/>
    <col min="9222" max="9222" width="9.140625" style="135" bestFit="1" customWidth="1"/>
    <col min="9223" max="9223" width="7.7109375" style="135" bestFit="1" customWidth="1"/>
    <col min="9224" max="9224" width="7.5703125" style="135" bestFit="1" customWidth="1"/>
    <col min="9225" max="9225" width="2.7109375" style="135" customWidth="1"/>
    <col min="9226" max="9226" width="7.5703125" style="135" bestFit="1" customWidth="1"/>
    <col min="9227" max="9227" width="7.7109375" style="135" bestFit="1" customWidth="1"/>
    <col min="9228" max="9228" width="7.5703125" style="135" bestFit="1" customWidth="1"/>
    <col min="9229" max="9473" width="8.85546875" style="135"/>
    <col min="9474" max="9474" width="20.28515625" style="135" customWidth="1"/>
    <col min="9475" max="9475" width="43.42578125" style="135" bestFit="1" customWidth="1"/>
    <col min="9476" max="9476" width="8.7109375" style="135" customWidth="1"/>
    <col min="9477" max="9477" width="2.7109375" style="135" customWidth="1"/>
    <col min="9478" max="9478" width="9.140625" style="135" bestFit="1" customWidth="1"/>
    <col min="9479" max="9479" width="7.7109375" style="135" bestFit="1" customWidth="1"/>
    <col min="9480" max="9480" width="7.5703125" style="135" bestFit="1" customWidth="1"/>
    <col min="9481" max="9481" width="2.7109375" style="135" customWidth="1"/>
    <col min="9482" max="9482" width="7.5703125" style="135" bestFit="1" customWidth="1"/>
    <col min="9483" max="9483" width="7.7109375" style="135" bestFit="1" customWidth="1"/>
    <col min="9484" max="9484" width="7.5703125" style="135" bestFit="1" customWidth="1"/>
    <col min="9485" max="9729" width="8.85546875" style="135"/>
    <col min="9730" max="9730" width="20.28515625" style="135" customWidth="1"/>
    <col min="9731" max="9731" width="43.42578125" style="135" bestFit="1" customWidth="1"/>
    <col min="9732" max="9732" width="8.7109375" style="135" customWidth="1"/>
    <col min="9733" max="9733" width="2.7109375" style="135" customWidth="1"/>
    <col min="9734" max="9734" width="9.140625" style="135" bestFit="1" customWidth="1"/>
    <col min="9735" max="9735" width="7.7109375" style="135" bestFit="1" customWidth="1"/>
    <col min="9736" max="9736" width="7.5703125" style="135" bestFit="1" customWidth="1"/>
    <col min="9737" max="9737" width="2.7109375" style="135" customWidth="1"/>
    <col min="9738" max="9738" width="7.5703125" style="135" bestFit="1" customWidth="1"/>
    <col min="9739" max="9739" width="7.7109375" style="135" bestFit="1" customWidth="1"/>
    <col min="9740" max="9740" width="7.5703125" style="135" bestFit="1" customWidth="1"/>
    <col min="9741" max="9985" width="8.85546875" style="135"/>
    <col min="9986" max="9986" width="20.28515625" style="135" customWidth="1"/>
    <col min="9987" max="9987" width="43.42578125" style="135" bestFit="1" customWidth="1"/>
    <col min="9988" max="9988" width="8.7109375" style="135" customWidth="1"/>
    <col min="9989" max="9989" width="2.7109375" style="135" customWidth="1"/>
    <col min="9990" max="9990" width="9.140625" style="135" bestFit="1" customWidth="1"/>
    <col min="9991" max="9991" width="7.7109375" style="135" bestFit="1" customWidth="1"/>
    <col min="9992" max="9992" width="7.5703125" style="135" bestFit="1" customWidth="1"/>
    <col min="9993" max="9993" width="2.7109375" style="135" customWidth="1"/>
    <col min="9994" max="9994" width="7.5703125" style="135" bestFit="1" customWidth="1"/>
    <col min="9995" max="9995" width="7.7109375" style="135" bestFit="1" customWidth="1"/>
    <col min="9996" max="9996" width="7.5703125" style="135" bestFit="1" customWidth="1"/>
    <col min="9997" max="10241" width="8.85546875" style="135"/>
    <col min="10242" max="10242" width="20.28515625" style="135" customWidth="1"/>
    <col min="10243" max="10243" width="43.42578125" style="135" bestFit="1" customWidth="1"/>
    <col min="10244" max="10244" width="8.7109375" style="135" customWidth="1"/>
    <col min="10245" max="10245" width="2.7109375" style="135" customWidth="1"/>
    <col min="10246" max="10246" width="9.140625" style="135" bestFit="1" customWidth="1"/>
    <col min="10247" max="10247" width="7.7109375" style="135" bestFit="1" customWidth="1"/>
    <col min="10248" max="10248" width="7.5703125" style="135" bestFit="1" customWidth="1"/>
    <col min="10249" max="10249" width="2.7109375" style="135" customWidth="1"/>
    <col min="10250" max="10250" width="7.5703125" style="135" bestFit="1" customWidth="1"/>
    <col min="10251" max="10251" width="7.7109375" style="135" bestFit="1" customWidth="1"/>
    <col min="10252" max="10252" width="7.5703125" style="135" bestFit="1" customWidth="1"/>
    <col min="10253" max="10497" width="8.85546875" style="135"/>
    <col min="10498" max="10498" width="20.28515625" style="135" customWidth="1"/>
    <col min="10499" max="10499" width="43.42578125" style="135" bestFit="1" customWidth="1"/>
    <col min="10500" max="10500" width="8.7109375" style="135" customWidth="1"/>
    <col min="10501" max="10501" width="2.7109375" style="135" customWidth="1"/>
    <col min="10502" max="10502" width="9.140625" style="135" bestFit="1" customWidth="1"/>
    <col min="10503" max="10503" width="7.7109375" style="135" bestFit="1" customWidth="1"/>
    <col min="10504" max="10504" width="7.5703125" style="135" bestFit="1" customWidth="1"/>
    <col min="10505" max="10505" width="2.7109375" style="135" customWidth="1"/>
    <col min="10506" max="10506" width="7.5703125" style="135" bestFit="1" customWidth="1"/>
    <col min="10507" max="10507" width="7.7109375" style="135" bestFit="1" customWidth="1"/>
    <col min="10508" max="10508" width="7.5703125" style="135" bestFit="1" customWidth="1"/>
    <col min="10509" max="10753" width="8.85546875" style="135"/>
    <col min="10754" max="10754" width="20.28515625" style="135" customWidth="1"/>
    <col min="10755" max="10755" width="43.42578125" style="135" bestFit="1" customWidth="1"/>
    <col min="10756" max="10756" width="8.7109375" style="135" customWidth="1"/>
    <col min="10757" max="10757" width="2.7109375" style="135" customWidth="1"/>
    <col min="10758" max="10758" width="9.140625" style="135" bestFit="1" customWidth="1"/>
    <col min="10759" max="10759" width="7.7109375" style="135" bestFit="1" customWidth="1"/>
    <col min="10760" max="10760" width="7.5703125" style="135" bestFit="1" customWidth="1"/>
    <col min="10761" max="10761" width="2.7109375" style="135" customWidth="1"/>
    <col min="10762" max="10762" width="7.5703125" style="135" bestFit="1" customWidth="1"/>
    <col min="10763" max="10763" width="7.7109375" style="135" bestFit="1" customWidth="1"/>
    <col min="10764" max="10764" width="7.5703125" style="135" bestFit="1" customWidth="1"/>
    <col min="10765" max="11009" width="8.85546875" style="135"/>
    <col min="11010" max="11010" width="20.28515625" style="135" customWidth="1"/>
    <col min="11011" max="11011" width="43.42578125" style="135" bestFit="1" customWidth="1"/>
    <col min="11012" max="11012" width="8.7109375" style="135" customWidth="1"/>
    <col min="11013" max="11013" width="2.7109375" style="135" customWidth="1"/>
    <col min="11014" max="11014" width="9.140625" style="135" bestFit="1" customWidth="1"/>
    <col min="11015" max="11015" width="7.7109375" style="135" bestFit="1" customWidth="1"/>
    <col min="11016" max="11016" width="7.5703125" style="135" bestFit="1" customWidth="1"/>
    <col min="11017" max="11017" width="2.7109375" style="135" customWidth="1"/>
    <col min="11018" max="11018" width="7.5703125" style="135" bestFit="1" customWidth="1"/>
    <col min="11019" max="11019" width="7.7109375" style="135" bestFit="1" customWidth="1"/>
    <col min="11020" max="11020" width="7.5703125" style="135" bestFit="1" customWidth="1"/>
    <col min="11021" max="11265" width="8.85546875" style="135"/>
    <col min="11266" max="11266" width="20.28515625" style="135" customWidth="1"/>
    <col min="11267" max="11267" width="43.42578125" style="135" bestFit="1" customWidth="1"/>
    <col min="11268" max="11268" width="8.7109375" style="135" customWidth="1"/>
    <col min="11269" max="11269" width="2.7109375" style="135" customWidth="1"/>
    <col min="11270" max="11270" width="9.140625" style="135" bestFit="1" customWidth="1"/>
    <col min="11271" max="11271" width="7.7109375" style="135" bestFit="1" customWidth="1"/>
    <col min="11272" max="11272" width="7.5703125" style="135" bestFit="1" customWidth="1"/>
    <col min="11273" max="11273" width="2.7109375" style="135" customWidth="1"/>
    <col min="11274" max="11274" width="7.5703125" style="135" bestFit="1" customWidth="1"/>
    <col min="11275" max="11275" width="7.7109375" style="135" bestFit="1" customWidth="1"/>
    <col min="11276" max="11276" width="7.5703125" style="135" bestFit="1" customWidth="1"/>
    <col min="11277" max="11521" width="8.85546875" style="135"/>
    <col min="11522" max="11522" width="20.28515625" style="135" customWidth="1"/>
    <col min="11523" max="11523" width="43.42578125" style="135" bestFit="1" customWidth="1"/>
    <col min="11524" max="11524" width="8.7109375" style="135" customWidth="1"/>
    <col min="11525" max="11525" width="2.7109375" style="135" customWidth="1"/>
    <col min="11526" max="11526" width="9.140625" style="135" bestFit="1" customWidth="1"/>
    <col min="11527" max="11527" width="7.7109375" style="135" bestFit="1" customWidth="1"/>
    <col min="11528" max="11528" width="7.5703125" style="135" bestFit="1" customWidth="1"/>
    <col min="11529" max="11529" width="2.7109375" style="135" customWidth="1"/>
    <col min="11530" max="11530" width="7.5703125" style="135" bestFit="1" customWidth="1"/>
    <col min="11531" max="11531" width="7.7109375" style="135" bestFit="1" customWidth="1"/>
    <col min="11532" max="11532" width="7.5703125" style="135" bestFit="1" customWidth="1"/>
    <col min="11533" max="11777" width="8.85546875" style="135"/>
    <col min="11778" max="11778" width="20.28515625" style="135" customWidth="1"/>
    <col min="11779" max="11779" width="43.42578125" style="135" bestFit="1" customWidth="1"/>
    <col min="11780" max="11780" width="8.7109375" style="135" customWidth="1"/>
    <col min="11781" max="11781" width="2.7109375" style="135" customWidth="1"/>
    <col min="11782" max="11782" width="9.140625" style="135" bestFit="1" customWidth="1"/>
    <col min="11783" max="11783" width="7.7109375" style="135" bestFit="1" customWidth="1"/>
    <col min="11784" max="11784" width="7.5703125" style="135" bestFit="1" customWidth="1"/>
    <col min="11785" max="11785" width="2.7109375" style="135" customWidth="1"/>
    <col min="11786" max="11786" width="7.5703125" style="135" bestFit="1" customWidth="1"/>
    <col min="11787" max="11787" width="7.7109375" style="135" bestFit="1" customWidth="1"/>
    <col min="11788" max="11788" width="7.5703125" style="135" bestFit="1" customWidth="1"/>
    <col min="11789" max="12033" width="8.85546875" style="135"/>
    <col min="12034" max="12034" width="20.28515625" style="135" customWidth="1"/>
    <col min="12035" max="12035" width="43.42578125" style="135" bestFit="1" customWidth="1"/>
    <col min="12036" max="12036" width="8.7109375" style="135" customWidth="1"/>
    <col min="12037" max="12037" width="2.7109375" style="135" customWidth="1"/>
    <col min="12038" max="12038" width="9.140625" style="135" bestFit="1" customWidth="1"/>
    <col min="12039" max="12039" width="7.7109375" style="135" bestFit="1" customWidth="1"/>
    <col min="12040" max="12040" width="7.5703125" style="135" bestFit="1" customWidth="1"/>
    <col min="12041" max="12041" width="2.7109375" style="135" customWidth="1"/>
    <col min="12042" max="12042" width="7.5703125" style="135" bestFit="1" customWidth="1"/>
    <col min="12043" max="12043" width="7.7109375" style="135" bestFit="1" customWidth="1"/>
    <col min="12044" max="12044" width="7.5703125" style="135" bestFit="1" customWidth="1"/>
    <col min="12045" max="12289" width="8.85546875" style="135"/>
    <col min="12290" max="12290" width="20.28515625" style="135" customWidth="1"/>
    <col min="12291" max="12291" width="43.42578125" style="135" bestFit="1" customWidth="1"/>
    <col min="12292" max="12292" width="8.7109375" style="135" customWidth="1"/>
    <col min="12293" max="12293" width="2.7109375" style="135" customWidth="1"/>
    <col min="12294" max="12294" width="9.140625" style="135" bestFit="1" customWidth="1"/>
    <col min="12295" max="12295" width="7.7109375" style="135" bestFit="1" customWidth="1"/>
    <col min="12296" max="12296" width="7.5703125" style="135" bestFit="1" customWidth="1"/>
    <col min="12297" max="12297" width="2.7109375" style="135" customWidth="1"/>
    <col min="12298" max="12298" width="7.5703125" style="135" bestFit="1" customWidth="1"/>
    <col min="12299" max="12299" width="7.7109375" style="135" bestFit="1" customWidth="1"/>
    <col min="12300" max="12300" width="7.5703125" style="135" bestFit="1" customWidth="1"/>
    <col min="12301" max="12545" width="8.85546875" style="135"/>
    <col min="12546" max="12546" width="20.28515625" style="135" customWidth="1"/>
    <col min="12547" max="12547" width="43.42578125" style="135" bestFit="1" customWidth="1"/>
    <col min="12548" max="12548" width="8.7109375" style="135" customWidth="1"/>
    <col min="12549" max="12549" width="2.7109375" style="135" customWidth="1"/>
    <col min="12550" max="12550" width="9.140625" style="135" bestFit="1" customWidth="1"/>
    <col min="12551" max="12551" width="7.7109375" style="135" bestFit="1" customWidth="1"/>
    <col min="12552" max="12552" width="7.5703125" style="135" bestFit="1" customWidth="1"/>
    <col min="12553" max="12553" width="2.7109375" style="135" customWidth="1"/>
    <col min="12554" max="12554" width="7.5703125" style="135" bestFit="1" customWidth="1"/>
    <col min="12555" max="12555" width="7.7109375" style="135" bestFit="1" customWidth="1"/>
    <col min="12556" max="12556" width="7.5703125" style="135" bestFit="1" customWidth="1"/>
    <col min="12557" max="12801" width="8.85546875" style="135"/>
    <col min="12802" max="12802" width="20.28515625" style="135" customWidth="1"/>
    <col min="12803" max="12803" width="43.42578125" style="135" bestFit="1" customWidth="1"/>
    <col min="12804" max="12804" width="8.7109375" style="135" customWidth="1"/>
    <col min="12805" max="12805" width="2.7109375" style="135" customWidth="1"/>
    <col min="12806" max="12806" width="9.140625" style="135" bestFit="1" customWidth="1"/>
    <col min="12807" max="12807" width="7.7109375" style="135" bestFit="1" customWidth="1"/>
    <col min="12808" max="12808" width="7.5703125" style="135" bestFit="1" customWidth="1"/>
    <col min="12809" max="12809" width="2.7109375" style="135" customWidth="1"/>
    <col min="12810" max="12810" width="7.5703125" style="135" bestFit="1" customWidth="1"/>
    <col min="12811" max="12811" width="7.7109375" style="135" bestFit="1" customWidth="1"/>
    <col min="12812" max="12812" width="7.5703125" style="135" bestFit="1" customWidth="1"/>
    <col min="12813" max="13057" width="8.85546875" style="135"/>
    <col min="13058" max="13058" width="20.28515625" style="135" customWidth="1"/>
    <col min="13059" max="13059" width="43.42578125" style="135" bestFit="1" customWidth="1"/>
    <col min="13060" max="13060" width="8.7109375" style="135" customWidth="1"/>
    <col min="13061" max="13061" width="2.7109375" style="135" customWidth="1"/>
    <col min="13062" max="13062" width="9.140625" style="135" bestFit="1" customWidth="1"/>
    <col min="13063" max="13063" width="7.7109375" style="135" bestFit="1" customWidth="1"/>
    <col min="13064" max="13064" width="7.5703125" style="135" bestFit="1" customWidth="1"/>
    <col min="13065" max="13065" width="2.7109375" style="135" customWidth="1"/>
    <col min="13066" max="13066" width="7.5703125" style="135" bestFit="1" customWidth="1"/>
    <col min="13067" max="13067" width="7.7109375" style="135" bestFit="1" customWidth="1"/>
    <col min="13068" max="13068" width="7.5703125" style="135" bestFit="1" customWidth="1"/>
    <col min="13069" max="13313" width="8.85546875" style="135"/>
    <col min="13314" max="13314" width="20.28515625" style="135" customWidth="1"/>
    <col min="13315" max="13315" width="43.42578125" style="135" bestFit="1" customWidth="1"/>
    <col min="13316" max="13316" width="8.7109375" style="135" customWidth="1"/>
    <col min="13317" max="13317" width="2.7109375" style="135" customWidth="1"/>
    <col min="13318" max="13318" width="9.140625" style="135" bestFit="1" customWidth="1"/>
    <col min="13319" max="13319" width="7.7109375" style="135" bestFit="1" customWidth="1"/>
    <col min="13320" max="13320" width="7.5703125" style="135" bestFit="1" customWidth="1"/>
    <col min="13321" max="13321" width="2.7109375" style="135" customWidth="1"/>
    <col min="13322" max="13322" width="7.5703125" style="135" bestFit="1" customWidth="1"/>
    <col min="13323" max="13323" width="7.7109375" style="135" bestFit="1" customWidth="1"/>
    <col min="13324" max="13324" width="7.5703125" style="135" bestFit="1" customWidth="1"/>
    <col min="13325" max="13569" width="8.85546875" style="135"/>
    <col min="13570" max="13570" width="20.28515625" style="135" customWidth="1"/>
    <col min="13571" max="13571" width="43.42578125" style="135" bestFit="1" customWidth="1"/>
    <col min="13572" max="13572" width="8.7109375" style="135" customWidth="1"/>
    <col min="13573" max="13573" width="2.7109375" style="135" customWidth="1"/>
    <col min="13574" max="13574" width="9.140625" style="135" bestFit="1" customWidth="1"/>
    <col min="13575" max="13575" width="7.7109375" style="135" bestFit="1" customWidth="1"/>
    <col min="13576" max="13576" width="7.5703125" style="135" bestFit="1" customWidth="1"/>
    <col min="13577" max="13577" width="2.7109375" style="135" customWidth="1"/>
    <col min="13578" max="13578" width="7.5703125" style="135" bestFit="1" customWidth="1"/>
    <col min="13579" max="13579" width="7.7109375" style="135" bestFit="1" customWidth="1"/>
    <col min="13580" max="13580" width="7.5703125" style="135" bestFit="1" customWidth="1"/>
    <col min="13581" max="13825" width="8.85546875" style="135"/>
    <col min="13826" max="13826" width="20.28515625" style="135" customWidth="1"/>
    <col min="13827" max="13827" width="43.42578125" style="135" bestFit="1" customWidth="1"/>
    <col min="13828" max="13828" width="8.7109375" style="135" customWidth="1"/>
    <col min="13829" max="13829" width="2.7109375" style="135" customWidth="1"/>
    <col min="13830" max="13830" width="9.140625" style="135" bestFit="1" customWidth="1"/>
    <col min="13831" max="13831" width="7.7109375" style="135" bestFit="1" customWidth="1"/>
    <col min="13832" max="13832" width="7.5703125" style="135" bestFit="1" customWidth="1"/>
    <col min="13833" max="13833" width="2.7109375" style="135" customWidth="1"/>
    <col min="13834" max="13834" width="7.5703125" style="135" bestFit="1" customWidth="1"/>
    <col min="13835" max="13835" width="7.7109375" style="135" bestFit="1" customWidth="1"/>
    <col min="13836" max="13836" width="7.5703125" style="135" bestFit="1" customWidth="1"/>
    <col min="13837" max="14081" width="8.85546875" style="135"/>
    <col min="14082" max="14082" width="20.28515625" style="135" customWidth="1"/>
    <col min="14083" max="14083" width="43.42578125" style="135" bestFit="1" customWidth="1"/>
    <col min="14084" max="14084" width="8.7109375" style="135" customWidth="1"/>
    <col min="14085" max="14085" width="2.7109375" style="135" customWidth="1"/>
    <col min="14086" max="14086" width="9.140625" style="135" bestFit="1" customWidth="1"/>
    <col min="14087" max="14087" width="7.7109375" style="135" bestFit="1" customWidth="1"/>
    <col min="14088" max="14088" width="7.5703125" style="135" bestFit="1" customWidth="1"/>
    <col min="14089" max="14089" width="2.7109375" style="135" customWidth="1"/>
    <col min="14090" max="14090" width="7.5703125" style="135" bestFit="1" customWidth="1"/>
    <col min="14091" max="14091" width="7.7109375" style="135" bestFit="1" customWidth="1"/>
    <col min="14092" max="14092" width="7.5703125" style="135" bestFit="1" customWidth="1"/>
    <col min="14093" max="14337" width="8.85546875" style="135"/>
    <col min="14338" max="14338" width="20.28515625" style="135" customWidth="1"/>
    <col min="14339" max="14339" width="43.42578125" style="135" bestFit="1" customWidth="1"/>
    <col min="14340" max="14340" width="8.7109375" style="135" customWidth="1"/>
    <col min="14341" max="14341" width="2.7109375" style="135" customWidth="1"/>
    <col min="14342" max="14342" width="9.140625" style="135" bestFit="1" customWidth="1"/>
    <col min="14343" max="14343" width="7.7109375" style="135" bestFit="1" customWidth="1"/>
    <col min="14344" max="14344" width="7.5703125" style="135" bestFit="1" customWidth="1"/>
    <col min="14345" max="14345" width="2.7109375" style="135" customWidth="1"/>
    <col min="14346" max="14346" width="7.5703125" style="135" bestFit="1" customWidth="1"/>
    <col min="14347" max="14347" width="7.7109375" style="135" bestFit="1" customWidth="1"/>
    <col min="14348" max="14348" width="7.5703125" style="135" bestFit="1" customWidth="1"/>
    <col min="14349" max="14593" width="8.85546875" style="135"/>
    <col min="14594" max="14594" width="20.28515625" style="135" customWidth="1"/>
    <col min="14595" max="14595" width="43.42578125" style="135" bestFit="1" customWidth="1"/>
    <col min="14596" max="14596" width="8.7109375" style="135" customWidth="1"/>
    <col min="14597" max="14597" width="2.7109375" style="135" customWidth="1"/>
    <col min="14598" max="14598" width="9.140625" style="135" bestFit="1" customWidth="1"/>
    <col min="14599" max="14599" width="7.7109375" style="135" bestFit="1" customWidth="1"/>
    <col min="14600" max="14600" width="7.5703125" style="135" bestFit="1" customWidth="1"/>
    <col min="14601" max="14601" width="2.7109375" style="135" customWidth="1"/>
    <col min="14602" max="14602" width="7.5703125" style="135" bestFit="1" customWidth="1"/>
    <col min="14603" max="14603" width="7.7109375" style="135" bestFit="1" customWidth="1"/>
    <col min="14604" max="14604" width="7.5703125" style="135" bestFit="1" customWidth="1"/>
    <col min="14605" max="14849" width="8.85546875" style="135"/>
    <col min="14850" max="14850" width="20.28515625" style="135" customWidth="1"/>
    <col min="14851" max="14851" width="43.42578125" style="135" bestFit="1" customWidth="1"/>
    <col min="14852" max="14852" width="8.7109375" style="135" customWidth="1"/>
    <col min="14853" max="14853" width="2.7109375" style="135" customWidth="1"/>
    <col min="14854" max="14854" width="9.140625" style="135" bestFit="1" customWidth="1"/>
    <col min="14855" max="14855" width="7.7109375" style="135" bestFit="1" customWidth="1"/>
    <col min="14856" max="14856" width="7.5703125" style="135" bestFit="1" customWidth="1"/>
    <col min="14857" max="14857" width="2.7109375" style="135" customWidth="1"/>
    <col min="14858" max="14858" width="7.5703125" style="135" bestFit="1" customWidth="1"/>
    <col min="14859" max="14859" width="7.7109375" style="135" bestFit="1" customWidth="1"/>
    <col min="14860" max="14860" width="7.5703125" style="135" bestFit="1" customWidth="1"/>
    <col min="14861" max="15105" width="8.85546875" style="135"/>
    <col min="15106" max="15106" width="20.28515625" style="135" customWidth="1"/>
    <col min="15107" max="15107" width="43.42578125" style="135" bestFit="1" customWidth="1"/>
    <col min="15108" max="15108" width="8.7109375" style="135" customWidth="1"/>
    <col min="15109" max="15109" width="2.7109375" style="135" customWidth="1"/>
    <col min="15110" max="15110" width="9.140625" style="135" bestFit="1" customWidth="1"/>
    <col min="15111" max="15111" width="7.7109375" style="135" bestFit="1" customWidth="1"/>
    <col min="15112" max="15112" width="7.5703125" style="135" bestFit="1" customWidth="1"/>
    <col min="15113" max="15113" width="2.7109375" style="135" customWidth="1"/>
    <col min="15114" max="15114" width="7.5703125" style="135" bestFit="1" customWidth="1"/>
    <col min="15115" max="15115" width="7.7109375" style="135" bestFit="1" customWidth="1"/>
    <col min="15116" max="15116" width="7.5703125" style="135" bestFit="1" customWidth="1"/>
    <col min="15117" max="15361" width="8.85546875" style="135"/>
    <col min="15362" max="15362" width="20.28515625" style="135" customWidth="1"/>
    <col min="15363" max="15363" width="43.42578125" style="135" bestFit="1" customWidth="1"/>
    <col min="15364" max="15364" width="8.7109375" style="135" customWidth="1"/>
    <col min="15365" max="15365" width="2.7109375" style="135" customWidth="1"/>
    <col min="15366" max="15366" width="9.140625" style="135" bestFit="1" customWidth="1"/>
    <col min="15367" max="15367" width="7.7109375" style="135" bestFit="1" customWidth="1"/>
    <col min="15368" max="15368" width="7.5703125" style="135" bestFit="1" customWidth="1"/>
    <col min="15369" max="15369" width="2.7109375" style="135" customWidth="1"/>
    <col min="15370" max="15370" width="7.5703125" style="135" bestFit="1" customWidth="1"/>
    <col min="15371" max="15371" width="7.7109375" style="135" bestFit="1" customWidth="1"/>
    <col min="15372" max="15372" width="7.5703125" style="135" bestFit="1" customWidth="1"/>
    <col min="15373" max="15617" width="8.85546875" style="135"/>
    <col min="15618" max="15618" width="20.28515625" style="135" customWidth="1"/>
    <col min="15619" max="15619" width="43.42578125" style="135" bestFit="1" customWidth="1"/>
    <col min="15620" max="15620" width="8.7109375" style="135" customWidth="1"/>
    <col min="15621" max="15621" width="2.7109375" style="135" customWidth="1"/>
    <col min="15622" max="15622" width="9.140625" style="135" bestFit="1" customWidth="1"/>
    <col min="15623" max="15623" width="7.7109375" style="135" bestFit="1" customWidth="1"/>
    <col min="15624" max="15624" width="7.5703125" style="135" bestFit="1" customWidth="1"/>
    <col min="15625" max="15625" width="2.7109375" style="135" customWidth="1"/>
    <col min="15626" max="15626" width="7.5703125" style="135" bestFit="1" customWidth="1"/>
    <col min="15627" max="15627" width="7.7109375" style="135" bestFit="1" customWidth="1"/>
    <col min="15628" max="15628" width="7.5703125" style="135" bestFit="1" customWidth="1"/>
    <col min="15629" max="15873" width="8.85546875" style="135"/>
    <col min="15874" max="15874" width="20.28515625" style="135" customWidth="1"/>
    <col min="15875" max="15875" width="43.42578125" style="135" bestFit="1" customWidth="1"/>
    <col min="15876" max="15876" width="8.7109375" style="135" customWidth="1"/>
    <col min="15877" max="15877" width="2.7109375" style="135" customWidth="1"/>
    <col min="15878" max="15878" width="9.140625" style="135" bestFit="1" customWidth="1"/>
    <col min="15879" max="15879" width="7.7109375" style="135" bestFit="1" customWidth="1"/>
    <col min="15880" max="15880" width="7.5703125" style="135" bestFit="1" customWidth="1"/>
    <col min="15881" max="15881" width="2.7109375" style="135" customWidth="1"/>
    <col min="15882" max="15882" width="7.5703125" style="135" bestFit="1" customWidth="1"/>
    <col min="15883" max="15883" width="7.7109375" style="135" bestFit="1" customWidth="1"/>
    <col min="15884" max="15884" width="7.5703125" style="135" bestFit="1" customWidth="1"/>
    <col min="15885" max="16129" width="8.85546875" style="135"/>
    <col min="16130" max="16130" width="20.28515625" style="135" customWidth="1"/>
    <col min="16131" max="16131" width="43.42578125" style="135" bestFit="1" customWidth="1"/>
    <col min="16132" max="16132" width="8.7109375" style="135" customWidth="1"/>
    <col min="16133" max="16133" width="2.7109375" style="135" customWidth="1"/>
    <col min="16134" max="16134" width="9.140625" style="135" bestFit="1" customWidth="1"/>
    <col min="16135" max="16135" width="7.7109375" style="135" bestFit="1" customWidth="1"/>
    <col min="16136" max="16136" width="7.5703125" style="135" bestFit="1" customWidth="1"/>
    <col min="16137" max="16137" width="2.7109375" style="135" customWidth="1"/>
    <col min="16138" max="16138" width="7.5703125" style="135" bestFit="1" customWidth="1"/>
    <col min="16139" max="16139" width="7.7109375" style="135" bestFit="1" customWidth="1"/>
    <col min="16140" max="16140" width="7.5703125" style="135" bestFit="1" customWidth="1"/>
    <col min="16141" max="16384" width="8.85546875" style="135"/>
  </cols>
  <sheetData>
    <row r="1" spans="1:52" ht="28.5" x14ac:dyDescent="0.45">
      <c r="A1" s="109" t="s">
        <v>91</v>
      </c>
    </row>
    <row r="2" spans="1:52" ht="15.75" x14ac:dyDescent="0.25">
      <c r="A2" s="229" t="s">
        <v>92</v>
      </c>
      <c r="B2" s="229" t="s">
        <v>93</v>
      </c>
      <c r="C2" s="229" t="s">
        <v>2</v>
      </c>
      <c r="D2" s="229" t="s">
        <v>94</v>
      </c>
      <c r="F2" s="226" t="s">
        <v>95</v>
      </c>
      <c r="G2" s="227"/>
      <c r="H2" s="228"/>
      <c r="J2" s="226" t="s">
        <v>96</v>
      </c>
      <c r="K2" s="227"/>
      <c r="L2" s="228"/>
      <c r="N2" s="226" t="s">
        <v>525</v>
      </c>
      <c r="O2" s="227"/>
      <c r="P2" s="228"/>
      <c r="R2" s="226" t="s">
        <v>530</v>
      </c>
      <c r="S2" s="227"/>
      <c r="T2" s="228"/>
      <c r="V2" s="226" t="s">
        <v>38</v>
      </c>
      <c r="W2" s="227"/>
      <c r="X2" s="228"/>
      <c r="Z2" s="226" t="s">
        <v>609</v>
      </c>
      <c r="AA2" s="227"/>
      <c r="AB2" s="228"/>
      <c r="AD2" s="226" t="s">
        <v>644</v>
      </c>
      <c r="AE2" s="227"/>
      <c r="AF2" s="228"/>
      <c r="AH2" s="226" t="s">
        <v>665</v>
      </c>
      <c r="AI2" s="227"/>
      <c r="AJ2" s="228"/>
      <c r="AL2" s="226" t="s">
        <v>666</v>
      </c>
      <c r="AM2" s="227"/>
      <c r="AN2" s="228"/>
      <c r="AP2" s="226" t="s">
        <v>667</v>
      </c>
      <c r="AQ2" s="227"/>
      <c r="AR2" s="228"/>
      <c r="AT2" s="226" t="s">
        <v>668</v>
      </c>
      <c r="AU2" s="227"/>
      <c r="AV2" s="228"/>
      <c r="AX2" s="226" t="s">
        <v>670</v>
      </c>
      <c r="AY2" s="227"/>
      <c r="AZ2" s="228"/>
    </row>
    <row r="3" spans="1:52" s="136" customFormat="1" ht="15.75" x14ac:dyDescent="0.25">
      <c r="A3" s="229"/>
      <c r="B3" s="229"/>
      <c r="C3" s="229"/>
      <c r="D3" s="229"/>
      <c r="E3" s="134"/>
      <c r="F3" s="119" t="s">
        <v>61</v>
      </c>
      <c r="G3" s="119" t="s">
        <v>62</v>
      </c>
      <c r="H3" s="119" t="s">
        <v>63</v>
      </c>
      <c r="I3" s="134"/>
      <c r="J3" s="119" t="s">
        <v>61</v>
      </c>
      <c r="K3" s="119" t="s">
        <v>62</v>
      </c>
      <c r="L3" s="119" t="s">
        <v>63</v>
      </c>
      <c r="M3" s="134"/>
      <c r="N3" s="119" t="s">
        <v>61</v>
      </c>
      <c r="O3" s="119" t="s">
        <v>62</v>
      </c>
      <c r="P3" s="119" t="s">
        <v>63</v>
      </c>
      <c r="Q3" s="134"/>
      <c r="R3" s="119" t="s">
        <v>61</v>
      </c>
      <c r="S3" s="119" t="s">
        <v>62</v>
      </c>
      <c r="T3" s="119" t="s">
        <v>63</v>
      </c>
      <c r="U3" s="134"/>
      <c r="V3" s="119" t="s">
        <v>61</v>
      </c>
      <c r="W3" s="119" t="s">
        <v>62</v>
      </c>
      <c r="X3" s="119" t="s">
        <v>63</v>
      </c>
      <c r="Z3" s="119" t="s">
        <v>61</v>
      </c>
      <c r="AA3" s="119" t="s">
        <v>62</v>
      </c>
      <c r="AB3" s="119" t="s">
        <v>63</v>
      </c>
      <c r="AD3" s="119" t="s">
        <v>61</v>
      </c>
      <c r="AE3" s="119" t="s">
        <v>62</v>
      </c>
      <c r="AF3" s="119" t="s">
        <v>63</v>
      </c>
      <c r="AH3" s="119" t="s">
        <v>61</v>
      </c>
      <c r="AI3" s="119" t="s">
        <v>62</v>
      </c>
      <c r="AJ3" s="119" t="s">
        <v>63</v>
      </c>
      <c r="AL3" s="119" t="s">
        <v>61</v>
      </c>
      <c r="AM3" s="119" t="s">
        <v>62</v>
      </c>
      <c r="AN3" s="119" t="s">
        <v>63</v>
      </c>
      <c r="AP3" s="119" t="s">
        <v>61</v>
      </c>
      <c r="AQ3" s="119" t="s">
        <v>62</v>
      </c>
      <c r="AR3" s="119" t="s">
        <v>63</v>
      </c>
      <c r="AT3" s="119" t="s">
        <v>61</v>
      </c>
      <c r="AU3" s="119" t="s">
        <v>62</v>
      </c>
      <c r="AV3" s="119" t="s">
        <v>63</v>
      </c>
      <c r="AX3" s="119" t="s">
        <v>61</v>
      </c>
      <c r="AY3" s="119" t="s">
        <v>62</v>
      </c>
      <c r="AZ3" s="119" t="s">
        <v>63</v>
      </c>
    </row>
    <row r="4" spans="1:52" x14ac:dyDescent="0.25">
      <c r="A4" s="112"/>
      <c r="B4" s="112"/>
      <c r="C4" s="112"/>
      <c r="D4" s="112"/>
    </row>
    <row r="5" spans="1:52" x14ac:dyDescent="0.25">
      <c r="A5" s="113">
        <v>1</v>
      </c>
      <c r="B5" s="114" t="s">
        <v>324</v>
      </c>
      <c r="C5" s="114" t="s">
        <v>325</v>
      </c>
      <c r="D5" s="113" t="s">
        <v>70</v>
      </c>
      <c r="F5" s="114">
        <v>195</v>
      </c>
      <c r="G5" s="114">
        <v>0</v>
      </c>
      <c r="H5" s="114">
        <v>0</v>
      </c>
      <c r="J5" s="114">
        <v>105</v>
      </c>
      <c r="K5" s="114">
        <v>0</v>
      </c>
      <c r="L5" s="114">
        <v>0</v>
      </c>
      <c r="N5" s="114">
        <v>210</v>
      </c>
      <c r="O5" s="114">
        <v>0</v>
      </c>
      <c r="P5" s="114">
        <v>0</v>
      </c>
      <c r="R5" s="114">
        <v>165</v>
      </c>
      <c r="S5" s="114">
        <v>0</v>
      </c>
      <c r="T5" s="114">
        <v>0</v>
      </c>
      <c r="V5" s="114">
        <v>135</v>
      </c>
      <c r="W5" s="114">
        <v>0</v>
      </c>
      <c r="X5" s="114">
        <v>0</v>
      </c>
      <c r="Z5" s="169">
        <v>150</v>
      </c>
      <c r="AA5" s="169">
        <v>0</v>
      </c>
      <c r="AB5" s="169">
        <v>2</v>
      </c>
      <c r="AC5" s="135">
        <v>3</v>
      </c>
      <c r="AD5" s="169">
        <v>270</v>
      </c>
      <c r="AE5" s="169">
        <v>0</v>
      </c>
      <c r="AF5" s="169">
        <f>VLOOKUP(B5,[4]PCS!$R$1:$U$65536,4,0)</f>
        <v>0</v>
      </c>
      <c r="AH5" s="169"/>
      <c r="AI5" s="169"/>
      <c r="AJ5" s="169"/>
      <c r="AL5" s="169"/>
      <c r="AM5" s="169"/>
      <c r="AN5" s="169"/>
      <c r="AP5" s="169"/>
      <c r="AQ5" s="169"/>
      <c r="AR5" s="169"/>
      <c r="AT5" s="169"/>
      <c r="AU5" s="169"/>
      <c r="AV5" s="169"/>
      <c r="AX5" s="169"/>
      <c r="AY5" s="169"/>
      <c r="AZ5" s="169"/>
    </row>
    <row r="6" spans="1:52" x14ac:dyDescent="0.25">
      <c r="A6" s="113">
        <v>2</v>
      </c>
      <c r="B6" s="114" t="s">
        <v>326</v>
      </c>
      <c r="C6" s="114" t="s">
        <v>327</v>
      </c>
      <c r="D6" s="113" t="s">
        <v>70</v>
      </c>
      <c r="F6" s="114">
        <v>180</v>
      </c>
      <c r="G6" s="114">
        <v>0</v>
      </c>
      <c r="H6" s="114">
        <v>0</v>
      </c>
      <c r="J6" s="114">
        <v>150</v>
      </c>
      <c r="K6" s="114">
        <v>0</v>
      </c>
      <c r="L6" s="114">
        <v>1</v>
      </c>
      <c r="N6" s="114">
        <v>180</v>
      </c>
      <c r="O6" s="114">
        <v>0</v>
      </c>
      <c r="P6" s="114">
        <v>0</v>
      </c>
      <c r="R6" s="114">
        <v>135</v>
      </c>
      <c r="S6" s="114">
        <v>0</v>
      </c>
      <c r="T6" s="114">
        <v>0</v>
      </c>
      <c r="V6" s="114">
        <v>195</v>
      </c>
      <c r="W6" s="114">
        <v>0</v>
      </c>
      <c r="X6" s="114">
        <v>0</v>
      </c>
      <c r="Z6" s="169">
        <v>0</v>
      </c>
      <c r="AA6" s="169">
        <v>165</v>
      </c>
      <c r="AB6" s="169">
        <v>1</v>
      </c>
      <c r="AC6" s="135">
        <v>3</v>
      </c>
      <c r="AD6" s="169">
        <v>255</v>
      </c>
      <c r="AE6" s="169">
        <v>0</v>
      </c>
      <c r="AF6" s="169">
        <f>VLOOKUP(B6,[4]PCS!$R$1:$U$65536,4,0)</f>
        <v>0</v>
      </c>
      <c r="AH6" s="169"/>
      <c r="AI6" s="169"/>
      <c r="AJ6" s="169"/>
      <c r="AL6" s="169"/>
      <c r="AM6" s="169"/>
      <c r="AN6" s="169"/>
      <c r="AP6" s="169"/>
      <c r="AQ6" s="169"/>
      <c r="AR6" s="169"/>
      <c r="AT6" s="169"/>
      <c r="AU6" s="169"/>
      <c r="AV6" s="169"/>
      <c r="AX6" s="169"/>
      <c r="AY6" s="169"/>
      <c r="AZ6" s="169"/>
    </row>
    <row r="7" spans="1:52" x14ac:dyDescent="0.25">
      <c r="A7" s="113">
        <v>3</v>
      </c>
      <c r="B7" s="114" t="s">
        <v>328</v>
      </c>
      <c r="C7" s="114" t="s">
        <v>329</v>
      </c>
      <c r="D7" s="113" t="s">
        <v>70</v>
      </c>
      <c r="F7" s="114">
        <v>3000</v>
      </c>
      <c r="G7" s="114">
        <v>0</v>
      </c>
      <c r="H7" s="114">
        <v>12</v>
      </c>
      <c r="J7" s="114">
        <v>3307</v>
      </c>
      <c r="K7" s="114">
        <v>0</v>
      </c>
      <c r="L7" s="114">
        <v>2</v>
      </c>
      <c r="N7" s="114">
        <v>4350</v>
      </c>
      <c r="O7" s="114">
        <v>0</v>
      </c>
      <c r="P7" s="114">
        <v>10</v>
      </c>
      <c r="R7" s="114">
        <v>1530</v>
      </c>
      <c r="S7" s="114">
        <v>0</v>
      </c>
      <c r="T7" s="114">
        <v>0</v>
      </c>
      <c r="V7" s="114">
        <v>4139</v>
      </c>
      <c r="W7" s="114">
        <v>0</v>
      </c>
      <c r="X7" s="114">
        <v>23</v>
      </c>
      <c r="Z7" s="169">
        <v>3780</v>
      </c>
      <c r="AA7" s="169">
        <v>0</v>
      </c>
      <c r="AB7" s="169">
        <v>2</v>
      </c>
      <c r="AC7" s="135">
        <v>3</v>
      </c>
      <c r="AD7" s="169">
        <v>4241</v>
      </c>
      <c r="AE7" s="169">
        <v>0</v>
      </c>
      <c r="AF7" s="169">
        <f>VLOOKUP(B7,[4]PCS!$R$1:$U$65536,4,0)</f>
        <v>0</v>
      </c>
      <c r="AH7" s="169"/>
      <c r="AI7" s="169"/>
      <c r="AJ7" s="169"/>
      <c r="AL7" s="169"/>
      <c r="AM7" s="169"/>
      <c r="AN7" s="169"/>
      <c r="AP7" s="169"/>
      <c r="AQ7" s="169"/>
      <c r="AR7" s="169"/>
      <c r="AT7" s="169"/>
      <c r="AU7" s="169"/>
      <c r="AV7" s="169"/>
      <c r="AX7" s="169"/>
      <c r="AY7" s="169"/>
      <c r="AZ7" s="169"/>
    </row>
    <row r="8" spans="1:52" x14ac:dyDescent="0.25">
      <c r="A8" s="113">
        <v>4</v>
      </c>
      <c r="B8" s="114" t="s">
        <v>330</v>
      </c>
      <c r="C8" s="114" t="s">
        <v>331</v>
      </c>
      <c r="D8" s="113" t="s">
        <v>70</v>
      </c>
      <c r="F8" s="114">
        <v>2999</v>
      </c>
      <c r="G8" s="114">
        <v>0</v>
      </c>
      <c r="H8" s="114">
        <v>3</v>
      </c>
      <c r="J8" s="114">
        <v>3361</v>
      </c>
      <c r="K8" s="114">
        <v>0</v>
      </c>
      <c r="L8" s="114">
        <v>3</v>
      </c>
      <c r="N8" s="114">
        <v>4320</v>
      </c>
      <c r="O8" s="114">
        <v>0</v>
      </c>
      <c r="P8" s="114">
        <v>2</v>
      </c>
      <c r="R8" s="114">
        <v>1260</v>
      </c>
      <c r="S8" s="114">
        <v>0</v>
      </c>
      <c r="T8" s="114">
        <v>0</v>
      </c>
      <c r="V8" s="114">
        <v>4080</v>
      </c>
      <c r="W8" s="114">
        <v>0</v>
      </c>
      <c r="X8" s="114">
        <v>12</v>
      </c>
      <c r="Z8" s="169">
        <v>3839</v>
      </c>
      <c r="AA8" s="169">
        <v>0</v>
      </c>
      <c r="AB8" s="169">
        <v>0</v>
      </c>
      <c r="AC8" s="135">
        <v>3</v>
      </c>
      <c r="AD8" s="169">
        <v>4110</v>
      </c>
      <c r="AE8" s="169">
        <v>0</v>
      </c>
      <c r="AF8" s="169">
        <f>VLOOKUP(B8,[4]PCS!$R$1:$U$65536,4,0)</f>
        <v>0</v>
      </c>
      <c r="AH8" s="169"/>
      <c r="AI8" s="169"/>
      <c r="AJ8" s="169"/>
      <c r="AL8" s="169"/>
      <c r="AM8" s="169"/>
      <c r="AN8" s="169"/>
      <c r="AP8" s="169"/>
      <c r="AQ8" s="169"/>
      <c r="AR8" s="169"/>
      <c r="AT8" s="169"/>
      <c r="AU8" s="169"/>
      <c r="AV8" s="169"/>
      <c r="AX8" s="169"/>
      <c r="AY8" s="169"/>
      <c r="AZ8" s="169"/>
    </row>
    <row r="9" spans="1:52" x14ac:dyDescent="0.25">
      <c r="A9" s="113">
        <v>5</v>
      </c>
      <c r="B9" s="137" t="s">
        <v>127</v>
      </c>
      <c r="C9" s="126" t="s">
        <v>128</v>
      </c>
      <c r="D9" s="113" t="s">
        <v>70</v>
      </c>
      <c r="F9" s="114"/>
      <c r="G9" s="114"/>
      <c r="H9" s="114"/>
      <c r="J9" s="114"/>
      <c r="K9" s="114"/>
      <c r="L9" s="114"/>
      <c r="N9" s="114"/>
      <c r="O9" s="114"/>
      <c r="P9" s="114"/>
      <c r="R9" s="114"/>
      <c r="S9" s="114"/>
      <c r="T9" s="114"/>
      <c r="V9" s="114">
        <v>1848</v>
      </c>
      <c r="W9" s="114">
        <v>9</v>
      </c>
      <c r="X9" s="114">
        <v>4</v>
      </c>
      <c r="Z9" s="169">
        <v>2274</v>
      </c>
      <c r="AA9" s="169">
        <v>0</v>
      </c>
      <c r="AB9" s="169">
        <v>0</v>
      </c>
      <c r="AC9" s="135">
        <v>3</v>
      </c>
      <c r="AD9" s="169">
        <f>VLOOKUP(B9,[4]PCS!$R$1:$S$65536,2,0)</f>
        <v>1025</v>
      </c>
      <c r="AE9" s="169">
        <f>VLOOKUP(B9,[4]PCS!$R$1:$T$65536,3,0)</f>
        <v>0</v>
      </c>
      <c r="AF9" s="169">
        <f>VLOOKUP(B9,[4]PCS!$R$1:$U$65536,4,0)</f>
        <v>0</v>
      </c>
      <c r="AH9" s="169"/>
      <c r="AI9" s="169"/>
      <c r="AJ9" s="169"/>
      <c r="AL9" s="169"/>
      <c r="AM9" s="169"/>
      <c r="AN9" s="169"/>
      <c r="AP9" s="169"/>
      <c r="AQ9" s="169"/>
      <c r="AR9" s="169"/>
      <c r="AT9" s="169"/>
      <c r="AU9" s="169"/>
      <c r="AV9" s="169"/>
      <c r="AX9" s="169"/>
      <c r="AY9" s="169"/>
      <c r="AZ9" s="169"/>
    </row>
    <row r="10" spans="1:52" x14ac:dyDescent="0.25">
      <c r="A10" s="113">
        <v>7</v>
      </c>
      <c r="B10" s="137" t="s">
        <v>129</v>
      </c>
      <c r="C10" s="126" t="s">
        <v>130</v>
      </c>
      <c r="D10" s="113" t="s">
        <v>70</v>
      </c>
      <c r="F10" s="114"/>
      <c r="G10" s="114"/>
      <c r="H10" s="114"/>
      <c r="J10" s="114"/>
      <c r="K10" s="114"/>
      <c r="L10" s="114"/>
      <c r="N10" s="114"/>
      <c r="O10" s="114"/>
      <c r="P10" s="114"/>
      <c r="R10" s="114"/>
      <c r="S10" s="114"/>
      <c r="T10" s="114"/>
      <c r="V10" s="114">
        <v>375</v>
      </c>
      <c r="W10" s="114">
        <v>0</v>
      </c>
      <c r="X10" s="114">
        <v>0</v>
      </c>
      <c r="Z10" s="169">
        <v>375</v>
      </c>
      <c r="AA10" s="169">
        <v>0</v>
      </c>
      <c r="AB10" s="169">
        <v>0</v>
      </c>
      <c r="AC10" s="135">
        <v>3</v>
      </c>
      <c r="AD10" s="169">
        <f>VLOOKUP(B10,[4]PCS!$R$1:$S$65536,2,0)</f>
        <v>350</v>
      </c>
      <c r="AE10" s="169">
        <f>VLOOKUP(B10,[4]PCS!$R$1:$T$65536,3,0)</f>
        <v>0</v>
      </c>
      <c r="AF10" s="169">
        <f>VLOOKUP(B10,[4]PCS!$R$1:$U$65536,4,0)</f>
        <v>0</v>
      </c>
      <c r="AH10" s="169"/>
      <c r="AI10" s="169"/>
      <c r="AJ10" s="169"/>
      <c r="AL10" s="169"/>
      <c r="AM10" s="169"/>
      <c r="AN10" s="169"/>
      <c r="AP10" s="169"/>
      <c r="AQ10" s="169"/>
      <c r="AR10" s="169"/>
      <c r="AT10" s="169"/>
      <c r="AU10" s="169"/>
      <c r="AV10" s="169"/>
      <c r="AX10" s="169"/>
      <c r="AY10" s="169"/>
      <c r="AZ10" s="169"/>
    </row>
    <row r="11" spans="1:52" x14ac:dyDescent="0.25">
      <c r="A11" s="113">
        <v>9</v>
      </c>
      <c r="B11" s="114" t="s">
        <v>332</v>
      </c>
      <c r="C11" s="114" t="s">
        <v>333</v>
      </c>
      <c r="D11" s="113" t="s">
        <v>70</v>
      </c>
      <c r="F11" s="114">
        <v>0</v>
      </c>
      <c r="G11" s="114">
        <v>90</v>
      </c>
      <c r="H11" s="114">
        <v>0</v>
      </c>
      <c r="J11" s="114">
        <v>0</v>
      </c>
      <c r="K11" s="114">
        <v>42</v>
      </c>
      <c r="L11" s="114">
        <v>0</v>
      </c>
      <c r="N11" s="114">
        <v>0</v>
      </c>
      <c r="O11" s="114">
        <v>73</v>
      </c>
      <c r="P11" s="114">
        <v>2</v>
      </c>
      <c r="R11" s="114">
        <v>30</v>
      </c>
      <c r="S11" s="114">
        <v>0</v>
      </c>
      <c r="T11" s="114">
        <v>0</v>
      </c>
      <c r="V11" s="114">
        <v>0</v>
      </c>
      <c r="W11" s="114">
        <v>90</v>
      </c>
      <c r="X11" s="114">
        <v>0</v>
      </c>
      <c r="Z11" s="169">
        <v>0</v>
      </c>
      <c r="AA11" s="169">
        <v>10</v>
      </c>
      <c r="AB11" s="169">
        <v>0</v>
      </c>
      <c r="AC11" s="135">
        <v>3</v>
      </c>
      <c r="AD11" s="169">
        <v>30</v>
      </c>
      <c r="AE11" s="169">
        <v>0</v>
      </c>
      <c r="AF11" s="169">
        <f>VLOOKUP(B11,[4]PCS!$R$1:$U$65536,4,0)</f>
        <v>0</v>
      </c>
      <c r="AH11" s="169"/>
      <c r="AI11" s="169"/>
      <c r="AJ11" s="169"/>
      <c r="AL11" s="169"/>
      <c r="AM11" s="169"/>
      <c r="AN11" s="169"/>
      <c r="AP11" s="169"/>
      <c r="AQ11" s="169"/>
      <c r="AR11" s="169"/>
      <c r="AT11" s="169"/>
      <c r="AU11" s="169"/>
      <c r="AV11" s="169"/>
      <c r="AX11" s="169"/>
      <c r="AY11" s="169"/>
      <c r="AZ11" s="169"/>
    </row>
    <row r="12" spans="1:52" x14ac:dyDescent="0.25">
      <c r="A12" s="113">
        <v>10</v>
      </c>
      <c r="B12" s="114" t="s">
        <v>334</v>
      </c>
      <c r="C12" s="114" t="s">
        <v>335</v>
      </c>
      <c r="D12" s="113" t="s">
        <v>70</v>
      </c>
      <c r="F12" s="114">
        <v>0</v>
      </c>
      <c r="G12" s="114">
        <v>90</v>
      </c>
      <c r="H12" s="114">
        <v>0</v>
      </c>
      <c r="J12" s="114">
        <v>0</v>
      </c>
      <c r="K12" s="114">
        <v>42</v>
      </c>
      <c r="L12" s="114">
        <v>0</v>
      </c>
      <c r="N12" s="114">
        <v>0</v>
      </c>
      <c r="O12" s="114">
        <v>91</v>
      </c>
      <c r="P12" s="114">
        <v>1</v>
      </c>
      <c r="R12" s="114">
        <v>30</v>
      </c>
      <c r="S12" s="114">
        <v>0</v>
      </c>
      <c r="T12" s="114">
        <v>0</v>
      </c>
      <c r="V12" s="114">
        <v>0</v>
      </c>
      <c r="W12" s="114">
        <v>122</v>
      </c>
      <c r="X12" s="114">
        <v>0</v>
      </c>
      <c r="Z12" s="169">
        <v>0</v>
      </c>
      <c r="AA12" s="169">
        <v>60</v>
      </c>
      <c r="AB12" s="169">
        <v>0</v>
      </c>
      <c r="AC12" s="135">
        <v>3</v>
      </c>
      <c r="AD12" s="169">
        <v>130</v>
      </c>
      <c r="AE12" s="169">
        <v>0</v>
      </c>
      <c r="AF12" s="169">
        <f>VLOOKUP(B12,[4]PCS!$R$1:$U$65536,4,0)</f>
        <v>0</v>
      </c>
      <c r="AH12" s="169"/>
      <c r="AI12" s="169"/>
      <c r="AJ12" s="169"/>
      <c r="AL12" s="169"/>
      <c r="AM12" s="169"/>
      <c r="AN12" s="169"/>
      <c r="AP12" s="169"/>
      <c r="AQ12" s="169"/>
      <c r="AR12" s="169"/>
      <c r="AT12" s="169"/>
      <c r="AU12" s="169"/>
      <c r="AV12" s="169"/>
      <c r="AX12" s="169"/>
      <c r="AY12" s="169"/>
      <c r="AZ12" s="169"/>
    </row>
    <row r="13" spans="1:52" x14ac:dyDescent="0.25">
      <c r="A13" s="113">
        <v>11</v>
      </c>
      <c r="B13" s="114" t="s">
        <v>336</v>
      </c>
      <c r="C13" s="114" t="s">
        <v>337</v>
      </c>
      <c r="D13" s="113" t="s">
        <v>70</v>
      </c>
      <c r="F13" s="114">
        <v>300</v>
      </c>
      <c r="G13" s="114">
        <v>0</v>
      </c>
      <c r="H13" s="114">
        <v>0</v>
      </c>
      <c r="J13" s="114">
        <v>275</v>
      </c>
      <c r="K13" s="114">
        <v>0</v>
      </c>
      <c r="L13" s="114">
        <v>0</v>
      </c>
      <c r="N13" s="114">
        <v>249</v>
      </c>
      <c r="O13" s="114">
        <v>0</v>
      </c>
      <c r="P13" s="114">
        <v>1</v>
      </c>
      <c r="R13" s="114">
        <v>125</v>
      </c>
      <c r="S13" s="114">
        <v>0</v>
      </c>
      <c r="T13" s="114">
        <v>0</v>
      </c>
      <c r="V13" s="114">
        <v>400</v>
      </c>
      <c r="W13" s="114">
        <v>0</v>
      </c>
      <c r="X13" s="114">
        <v>0</v>
      </c>
      <c r="Z13" s="169">
        <v>299</v>
      </c>
      <c r="AA13" s="169">
        <v>1</v>
      </c>
      <c r="AB13" s="169">
        <v>1</v>
      </c>
      <c r="AC13" s="135">
        <v>3</v>
      </c>
      <c r="AD13" s="169">
        <f>VLOOKUP(B13,[4]PCS!$R$1:$S$65536,2,0)</f>
        <v>350</v>
      </c>
      <c r="AE13" s="169">
        <f>VLOOKUP(B13,[4]PCS!$R$1:$T$65536,3,0)</f>
        <v>0</v>
      </c>
      <c r="AF13" s="169">
        <f>VLOOKUP(B13,[4]PCS!$R$1:$U$65536,4,0)</f>
        <v>0</v>
      </c>
      <c r="AH13" s="169"/>
      <c r="AI13" s="169"/>
      <c r="AJ13" s="169"/>
      <c r="AL13" s="169"/>
      <c r="AM13" s="169"/>
      <c r="AN13" s="169"/>
      <c r="AP13" s="169"/>
      <c r="AQ13" s="169"/>
      <c r="AR13" s="169"/>
      <c r="AT13" s="169"/>
      <c r="AU13" s="169"/>
      <c r="AV13" s="169"/>
      <c r="AX13" s="169"/>
      <c r="AY13" s="169"/>
      <c r="AZ13" s="169"/>
    </row>
    <row r="14" spans="1:52" x14ac:dyDescent="0.25">
      <c r="A14" s="113">
        <v>12</v>
      </c>
      <c r="B14" s="114" t="s">
        <v>338</v>
      </c>
      <c r="C14" s="114" t="s">
        <v>339</v>
      </c>
      <c r="D14" s="113" t="s">
        <v>70</v>
      </c>
      <c r="F14" s="114">
        <v>300</v>
      </c>
      <c r="G14" s="114">
        <v>0</v>
      </c>
      <c r="H14" s="114">
        <v>0</v>
      </c>
      <c r="J14" s="114">
        <v>300</v>
      </c>
      <c r="K14" s="114">
        <v>0</v>
      </c>
      <c r="L14" s="114">
        <v>0</v>
      </c>
      <c r="N14" s="114">
        <v>150</v>
      </c>
      <c r="O14" s="114">
        <v>0</v>
      </c>
      <c r="P14" s="114">
        <v>0</v>
      </c>
      <c r="R14" s="114">
        <v>150</v>
      </c>
      <c r="S14" s="114">
        <v>0</v>
      </c>
      <c r="T14" s="114">
        <v>0</v>
      </c>
      <c r="V14" s="114">
        <v>600</v>
      </c>
      <c r="W14" s="114">
        <v>0</v>
      </c>
      <c r="X14" s="114">
        <v>0</v>
      </c>
      <c r="Z14" s="169">
        <v>592</v>
      </c>
      <c r="AA14" s="169">
        <v>8</v>
      </c>
      <c r="AB14" s="169">
        <v>0</v>
      </c>
      <c r="AC14" s="135">
        <v>3</v>
      </c>
      <c r="AD14" s="169">
        <f>VLOOKUP(B14,[4]PCS!$R$1:$S$65536,2,0)</f>
        <v>300</v>
      </c>
      <c r="AE14" s="169">
        <f>VLOOKUP(B14,[4]PCS!$R$1:$T$65536,3,0)</f>
        <v>0</v>
      </c>
      <c r="AF14" s="169">
        <f>VLOOKUP(B14,[4]PCS!$R$1:$U$65536,4,0)</f>
        <v>0</v>
      </c>
      <c r="AH14" s="169"/>
      <c r="AI14" s="169"/>
      <c r="AJ14" s="169"/>
      <c r="AL14" s="169"/>
      <c r="AM14" s="169"/>
      <c r="AN14" s="169"/>
      <c r="AP14" s="169"/>
      <c r="AQ14" s="169"/>
      <c r="AR14" s="169"/>
      <c r="AT14" s="169"/>
      <c r="AU14" s="169"/>
      <c r="AV14" s="169"/>
      <c r="AX14" s="169"/>
      <c r="AY14" s="169"/>
      <c r="AZ14" s="169"/>
    </row>
    <row r="15" spans="1:52" x14ac:dyDescent="0.25">
      <c r="A15" s="113">
        <v>13</v>
      </c>
      <c r="B15" s="114" t="s">
        <v>340</v>
      </c>
      <c r="C15" s="114" t="s">
        <v>341</v>
      </c>
      <c r="D15" s="113" t="s">
        <v>70</v>
      </c>
      <c r="F15" s="114">
        <v>850</v>
      </c>
      <c r="G15" s="114">
        <v>0</v>
      </c>
      <c r="H15" s="114">
        <v>0</v>
      </c>
      <c r="J15" s="114">
        <v>650</v>
      </c>
      <c r="K15" s="114">
        <v>0</v>
      </c>
      <c r="L15" s="114">
        <v>0</v>
      </c>
      <c r="N15" s="114">
        <v>700</v>
      </c>
      <c r="O15" s="114">
        <v>0</v>
      </c>
      <c r="P15" s="114">
        <v>1</v>
      </c>
      <c r="R15" s="114">
        <v>400</v>
      </c>
      <c r="S15" s="114">
        <v>0</v>
      </c>
      <c r="T15" s="114">
        <v>0</v>
      </c>
      <c r="V15" s="114">
        <v>1319</v>
      </c>
      <c r="W15" s="114">
        <v>82</v>
      </c>
      <c r="X15" s="114">
        <v>0</v>
      </c>
      <c r="Z15" s="169">
        <v>1507</v>
      </c>
      <c r="AA15" s="169">
        <v>43</v>
      </c>
      <c r="AB15" s="169">
        <v>0</v>
      </c>
      <c r="AC15" s="135">
        <v>3</v>
      </c>
      <c r="AD15" s="169">
        <f>VLOOKUP(B15,[4]PCS!$R$1:$S$65536,2,0)</f>
        <v>800</v>
      </c>
      <c r="AE15" s="169">
        <f>VLOOKUP(B15,[4]PCS!$R$1:$T$65536,3,0)</f>
        <v>0</v>
      </c>
      <c r="AF15" s="169">
        <f>VLOOKUP(B15,[4]PCS!$R$1:$U$65536,4,0)</f>
        <v>0</v>
      </c>
      <c r="AH15" s="169"/>
      <c r="AI15" s="169"/>
      <c r="AJ15" s="169"/>
      <c r="AL15" s="169"/>
      <c r="AM15" s="169"/>
      <c r="AN15" s="169"/>
      <c r="AP15" s="169"/>
      <c r="AQ15" s="169"/>
      <c r="AR15" s="169"/>
      <c r="AT15" s="169"/>
      <c r="AU15" s="169"/>
      <c r="AV15" s="169"/>
      <c r="AX15" s="169"/>
      <c r="AY15" s="169"/>
      <c r="AZ15" s="169"/>
    </row>
    <row r="16" spans="1:52" x14ac:dyDescent="0.25">
      <c r="A16" s="113">
        <v>14</v>
      </c>
      <c r="B16" s="114" t="s">
        <v>342</v>
      </c>
      <c r="C16" s="114" t="s">
        <v>343</v>
      </c>
      <c r="D16" s="113" t="s">
        <v>70</v>
      </c>
      <c r="F16" s="115">
        <v>0</v>
      </c>
      <c r="G16" s="115">
        <v>0</v>
      </c>
      <c r="H16" s="115">
        <v>1</v>
      </c>
      <c r="J16" s="115"/>
      <c r="K16" s="115"/>
      <c r="L16" s="115"/>
      <c r="N16" s="115"/>
      <c r="O16" s="115"/>
      <c r="P16" s="115"/>
      <c r="R16" s="115"/>
      <c r="S16" s="115"/>
      <c r="T16" s="115"/>
      <c r="V16" s="115"/>
      <c r="W16" s="115"/>
      <c r="X16" s="115"/>
      <c r="Z16" s="169">
        <v>501</v>
      </c>
      <c r="AA16" s="169">
        <v>0</v>
      </c>
      <c r="AB16" s="169">
        <v>0</v>
      </c>
      <c r="AC16" s="135">
        <v>3</v>
      </c>
      <c r="AD16" s="169">
        <f>VLOOKUP(B16,[4]PCS!$R$1:$S$65536,2,0)</f>
        <v>1250</v>
      </c>
      <c r="AE16" s="169">
        <f>VLOOKUP(B16,[4]PCS!$R$1:$T$65536,3,0)</f>
        <v>0</v>
      </c>
      <c r="AF16" s="169">
        <f>VLOOKUP(B16,[4]PCS!$R$1:$U$65536,4,0)</f>
        <v>0</v>
      </c>
      <c r="AH16" s="169"/>
      <c r="AI16" s="169"/>
      <c r="AJ16" s="169"/>
      <c r="AL16" s="169"/>
      <c r="AM16" s="169"/>
      <c r="AN16" s="169"/>
      <c r="AP16" s="169"/>
      <c r="AQ16" s="169"/>
      <c r="AR16" s="169"/>
      <c r="AT16" s="169"/>
      <c r="AU16" s="169"/>
      <c r="AV16" s="169"/>
      <c r="AX16" s="169"/>
      <c r="AY16" s="169"/>
      <c r="AZ16" s="169"/>
    </row>
    <row r="17" spans="1:52" x14ac:dyDescent="0.25">
      <c r="A17" s="113">
        <v>15</v>
      </c>
      <c r="B17" s="125" t="s">
        <v>131</v>
      </c>
      <c r="C17" s="114" t="s">
        <v>132</v>
      </c>
      <c r="D17" s="113"/>
      <c r="F17" s="115"/>
      <c r="G17" s="115"/>
      <c r="H17" s="115"/>
      <c r="J17" s="115"/>
      <c r="K17" s="115"/>
      <c r="L17" s="115"/>
      <c r="N17" s="115"/>
      <c r="O17" s="115"/>
      <c r="P17" s="115"/>
      <c r="R17" s="115"/>
      <c r="S17" s="115"/>
      <c r="T17" s="115"/>
      <c r="V17" s="115"/>
      <c r="W17" s="115"/>
      <c r="X17" s="115"/>
      <c r="Z17" s="169">
        <v>3716</v>
      </c>
      <c r="AA17" s="169">
        <v>0</v>
      </c>
      <c r="AB17" s="169">
        <v>11</v>
      </c>
      <c r="AC17" s="135">
        <v>3</v>
      </c>
      <c r="AD17" s="169">
        <v>2010</v>
      </c>
      <c r="AE17" s="169">
        <v>0</v>
      </c>
      <c r="AF17" s="169">
        <f>VLOOKUP(B17,[4]PCS!$R$1:$U$65536,4,0)</f>
        <v>0</v>
      </c>
      <c r="AH17" s="169"/>
      <c r="AI17" s="169"/>
      <c r="AJ17" s="169"/>
      <c r="AL17" s="169"/>
      <c r="AM17" s="169"/>
      <c r="AN17" s="169"/>
      <c r="AP17" s="169"/>
      <c r="AQ17" s="169"/>
      <c r="AR17" s="169"/>
      <c r="AT17" s="169"/>
      <c r="AU17" s="169"/>
      <c r="AV17" s="169"/>
      <c r="AX17" s="169"/>
      <c r="AY17" s="169"/>
      <c r="AZ17" s="169"/>
    </row>
    <row r="18" spans="1:52" x14ac:dyDescent="0.25">
      <c r="A18" s="113">
        <v>16</v>
      </c>
      <c r="B18" s="125" t="s">
        <v>135</v>
      </c>
      <c r="C18" s="114" t="s">
        <v>136</v>
      </c>
      <c r="D18" s="113"/>
      <c r="F18" s="115"/>
      <c r="G18" s="115"/>
      <c r="H18" s="115"/>
      <c r="J18" s="115"/>
      <c r="K18" s="115"/>
      <c r="L18" s="115"/>
      <c r="N18" s="115"/>
      <c r="O18" s="115"/>
      <c r="P18" s="115"/>
      <c r="R18" s="115"/>
      <c r="S18" s="115"/>
      <c r="T18" s="115"/>
      <c r="V18" s="115"/>
      <c r="W18" s="115"/>
      <c r="X18" s="115"/>
      <c r="Z18" s="169">
        <v>5730</v>
      </c>
      <c r="AA18" s="169">
        <v>0</v>
      </c>
      <c r="AB18" s="169">
        <v>3</v>
      </c>
      <c r="AC18" s="135">
        <v>3</v>
      </c>
      <c r="AD18" s="169">
        <v>5340</v>
      </c>
      <c r="AE18" s="169">
        <v>0</v>
      </c>
      <c r="AF18" s="169">
        <f>VLOOKUP(B18,[4]PCS!$R$1:$U$65536,4,0)</f>
        <v>0</v>
      </c>
      <c r="AH18" s="169"/>
      <c r="AI18" s="169"/>
      <c r="AJ18" s="169"/>
      <c r="AL18" s="169"/>
      <c r="AM18" s="169"/>
      <c r="AN18" s="169"/>
      <c r="AP18" s="169"/>
      <c r="AQ18" s="169"/>
      <c r="AR18" s="169"/>
      <c r="AT18" s="169"/>
      <c r="AU18" s="169"/>
      <c r="AV18" s="169"/>
      <c r="AX18" s="169"/>
      <c r="AY18" s="169"/>
      <c r="AZ18" s="169"/>
    </row>
    <row r="19" spans="1:52" x14ac:dyDescent="0.25">
      <c r="A19" s="113">
        <v>17</v>
      </c>
      <c r="B19" s="114" t="s">
        <v>344</v>
      </c>
      <c r="C19" s="114" t="s">
        <v>345</v>
      </c>
      <c r="D19" s="113" t="s">
        <v>70</v>
      </c>
      <c r="F19" s="115">
        <v>4300</v>
      </c>
      <c r="G19" s="115">
        <v>0</v>
      </c>
      <c r="H19" s="115">
        <v>0</v>
      </c>
      <c r="J19" s="115">
        <v>4100</v>
      </c>
      <c r="K19" s="115">
        <v>0</v>
      </c>
      <c r="L19" s="115">
        <v>1</v>
      </c>
      <c r="N19" s="115">
        <v>5400</v>
      </c>
      <c r="O19" s="115">
        <v>0</v>
      </c>
      <c r="P19" s="115">
        <v>0</v>
      </c>
      <c r="R19" s="115"/>
      <c r="S19" s="115"/>
      <c r="T19" s="115"/>
      <c r="V19" s="115"/>
      <c r="W19" s="115"/>
      <c r="X19" s="115"/>
      <c r="Z19" s="169"/>
      <c r="AA19" s="169"/>
      <c r="AB19" s="169"/>
      <c r="AC19" s="135">
        <v>3</v>
      </c>
      <c r="AD19" s="169"/>
      <c r="AE19" s="169"/>
      <c r="AF19" s="169"/>
      <c r="AH19" s="169"/>
      <c r="AI19" s="169"/>
      <c r="AJ19" s="169"/>
      <c r="AL19" s="169"/>
      <c r="AM19" s="169"/>
      <c r="AN19" s="169"/>
      <c r="AP19" s="169"/>
      <c r="AQ19" s="169"/>
      <c r="AR19" s="169"/>
      <c r="AT19" s="169"/>
      <c r="AU19" s="169"/>
      <c r="AV19" s="169"/>
      <c r="AX19" s="169"/>
      <c r="AY19" s="169"/>
      <c r="AZ19" s="169"/>
    </row>
    <row r="20" spans="1:52" x14ac:dyDescent="0.25">
      <c r="A20" s="113">
        <v>18</v>
      </c>
      <c r="B20" s="114" t="s">
        <v>346</v>
      </c>
      <c r="C20" s="114" t="s">
        <v>347</v>
      </c>
      <c r="D20" s="113" t="s">
        <v>70</v>
      </c>
      <c r="F20" s="114">
        <v>0</v>
      </c>
      <c r="G20" s="114">
        <v>6</v>
      </c>
      <c r="H20" s="114">
        <v>0</v>
      </c>
      <c r="J20" s="114"/>
      <c r="K20" s="114"/>
      <c r="L20" s="114"/>
      <c r="N20" s="114">
        <v>0</v>
      </c>
      <c r="O20" s="114">
        <v>5</v>
      </c>
      <c r="P20" s="114">
        <v>0</v>
      </c>
      <c r="R20" s="114">
        <v>0</v>
      </c>
      <c r="S20" s="114">
        <v>5</v>
      </c>
      <c r="T20" s="114">
        <v>0</v>
      </c>
      <c r="V20" s="114">
        <v>0</v>
      </c>
      <c r="W20" s="114">
        <v>11</v>
      </c>
      <c r="X20" s="114">
        <v>0</v>
      </c>
      <c r="Z20" s="169">
        <v>0</v>
      </c>
      <c r="AA20" s="169">
        <v>5</v>
      </c>
      <c r="AB20" s="169">
        <v>0</v>
      </c>
      <c r="AC20" s="135">
        <v>3</v>
      </c>
      <c r="AD20" s="169"/>
      <c r="AE20" s="169"/>
      <c r="AF20" s="169"/>
      <c r="AH20" s="169"/>
      <c r="AI20" s="169"/>
      <c r="AJ20" s="169"/>
      <c r="AL20" s="169"/>
      <c r="AM20" s="169"/>
      <c r="AN20" s="169"/>
      <c r="AP20" s="169"/>
      <c r="AQ20" s="169"/>
      <c r="AR20" s="169"/>
      <c r="AT20" s="169"/>
      <c r="AU20" s="169"/>
      <c r="AV20" s="169"/>
      <c r="AX20" s="169"/>
      <c r="AY20" s="169"/>
      <c r="AZ20" s="169"/>
    </row>
    <row r="21" spans="1:52" x14ac:dyDescent="0.25">
      <c r="A21" s="113">
        <v>19</v>
      </c>
      <c r="B21" s="125" t="s">
        <v>514</v>
      </c>
      <c r="C21" s="114" t="s">
        <v>513</v>
      </c>
      <c r="D21" s="113" t="s">
        <v>70</v>
      </c>
      <c r="F21" s="115"/>
      <c r="G21" s="115"/>
      <c r="H21" s="115"/>
      <c r="J21" s="115"/>
      <c r="K21" s="115"/>
      <c r="L21" s="115"/>
      <c r="N21" s="115">
        <v>2</v>
      </c>
      <c r="O21" s="115">
        <v>0</v>
      </c>
      <c r="P21" s="115">
        <v>0</v>
      </c>
      <c r="R21" s="115">
        <v>2</v>
      </c>
      <c r="S21" s="115">
        <v>0</v>
      </c>
      <c r="T21" s="115">
        <v>0</v>
      </c>
      <c r="V21" s="115"/>
      <c r="W21" s="115"/>
      <c r="X21" s="115"/>
      <c r="Z21" s="169"/>
      <c r="AA21" s="169"/>
      <c r="AB21" s="169"/>
      <c r="AC21" s="135">
        <v>3</v>
      </c>
      <c r="AD21" s="169"/>
      <c r="AE21" s="169"/>
      <c r="AF21" s="169"/>
      <c r="AH21" s="169"/>
      <c r="AI21" s="169"/>
      <c r="AJ21" s="169"/>
      <c r="AL21" s="169"/>
      <c r="AM21" s="169"/>
      <c r="AN21" s="169"/>
      <c r="AP21" s="169"/>
      <c r="AQ21" s="169"/>
      <c r="AR21" s="169"/>
      <c r="AT21" s="169"/>
      <c r="AU21" s="169"/>
      <c r="AV21" s="169"/>
      <c r="AX21" s="169"/>
      <c r="AY21" s="169"/>
      <c r="AZ21" s="169"/>
    </row>
    <row r="22" spans="1:52" x14ac:dyDescent="0.25">
      <c r="A22" s="113">
        <v>20</v>
      </c>
      <c r="B22" s="114" t="s">
        <v>348</v>
      </c>
      <c r="C22" s="114" t="s">
        <v>349</v>
      </c>
      <c r="D22" s="113" t="s">
        <v>70</v>
      </c>
      <c r="F22" s="114">
        <v>0</v>
      </c>
      <c r="G22" s="114">
        <v>59</v>
      </c>
      <c r="H22" s="114">
        <v>0</v>
      </c>
      <c r="J22" s="114"/>
      <c r="K22" s="114"/>
      <c r="L22" s="114"/>
      <c r="N22" s="114">
        <v>0</v>
      </c>
      <c r="O22" s="114">
        <v>67</v>
      </c>
      <c r="P22" s="114">
        <v>1</v>
      </c>
      <c r="R22" s="114">
        <v>0</v>
      </c>
      <c r="S22" s="114">
        <v>38</v>
      </c>
      <c r="T22" s="114">
        <v>0</v>
      </c>
      <c r="V22" s="114">
        <v>0</v>
      </c>
      <c r="W22" s="114">
        <v>26</v>
      </c>
      <c r="X22" s="114">
        <v>0</v>
      </c>
      <c r="Z22" s="169">
        <v>0</v>
      </c>
      <c r="AA22" s="169">
        <v>19</v>
      </c>
      <c r="AB22" s="169">
        <v>0</v>
      </c>
      <c r="AC22" s="135">
        <v>3</v>
      </c>
      <c r="AD22" s="169">
        <v>64</v>
      </c>
      <c r="AE22" s="169">
        <v>0</v>
      </c>
      <c r="AF22" s="169">
        <f>VLOOKUP(B22,[4]PCS!$R$1:$U$65536,4,0)</f>
        <v>6</v>
      </c>
      <c r="AH22" s="169"/>
      <c r="AI22" s="169"/>
      <c r="AJ22" s="169"/>
      <c r="AL22" s="169"/>
      <c r="AM22" s="169"/>
      <c r="AN22" s="169"/>
      <c r="AP22" s="169"/>
      <c r="AQ22" s="169"/>
      <c r="AR22" s="169"/>
      <c r="AT22" s="169"/>
      <c r="AU22" s="169"/>
      <c r="AV22" s="169"/>
      <c r="AX22" s="169"/>
      <c r="AY22" s="169"/>
      <c r="AZ22" s="169"/>
    </row>
    <row r="23" spans="1:52" x14ac:dyDescent="0.25">
      <c r="A23" s="113">
        <v>21</v>
      </c>
      <c r="B23" s="114" t="s">
        <v>350</v>
      </c>
      <c r="C23" s="114" t="s">
        <v>351</v>
      </c>
      <c r="D23" s="113" t="s">
        <v>70</v>
      </c>
      <c r="F23" s="114">
        <v>0</v>
      </c>
      <c r="G23" s="114">
        <v>8</v>
      </c>
      <c r="H23" s="114">
        <v>0</v>
      </c>
      <c r="J23" s="114"/>
      <c r="K23" s="114"/>
      <c r="L23" s="114"/>
      <c r="N23" s="114">
        <v>0</v>
      </c>
      <c r="O23" s="114">
        <v>11</v>
      </c>
      <c r="P23" s="114">
        <v>0</v>
      </c>
      <c r="R23" s="114"/>
      <c r="S23" s="114"/>
      <c r="T23" s="114"/>
      <c r="V23" s="114">
        <v>0</v>
      </c>
      <c r="W23" s="114">
        <v>4</v>
      </c>
      <c r="X23" s="114">
        <v>0</v>
      </c>
      <c r="Z23" s="169">
        <v>0</v>
      </c>
      <c r="AA23" s="169">
        <v>11</v>
      </c>
      <c r="AB23" s="169">
        <v>0</v>
      </c>
      <c r="AC23" s="135">
        <v>3</v>
      </c>
      <c r="AD23" s="169">
        <v>3</v>
      </c>
      <c r="AE23" s="169">
        <v>0</v>
      </c>
      <c r="AF23" s="169">
        <f>VLOOKUP(B23,[4]PCS!$R$1:$U$65536,4,0)</f>
        <v>0</v>
      </c>
      <c r="AH23" s="169"/>
      <c r="AI23" s="169"/>
      <c r="AJ23" s="169"/>
      <c r="AL23" s="169"/>
      <c r="AM23" s="169"/>
      <c r="AN23" s="169"/>
      <c r="AP23" s="169"/>
      <c r="AQ23" s="169"/>
      <c r="AR23" s="169"/>
      <c r="AT23" s="169"/>
      <c r="AU23" s="169"/>
      <c r="AV23" s="169"/>
      <c r="AX23" s="169"/>
      <c r="AY23" s="169"/>
      <c r="AZ23" s="169"/>
    </row>
    <row r="24" spans="1:52" x14ac:dyDescent="0.25">
      <c r="A24" s="113">
        <v>22</v>
      </c>
      <c r="B24" s="114" t="s">
        <v>352</v>
      </c>
      <c r="C24" s="114" t="s">
        <v>353</v>
      </c>
      <c r="D24" s="113" t="s">
        <v>70</v>
      </c>
      <c r="F24" s="115">
        <v>3</v>
      </c>
      <c r="G24" s="115">
        <v>0</v>
      </c>
      <c r="H24" s="115">
        <v>0</v>
      </c>
      <c r="J24" s="115"/>
      <c r="K24" s="115"/>
      <c r="L24" s="115"/>
      <c r="N24" s="115"/>
      <c r="O24" s="115"/>
      <c r="P24" s="115"/>
      <c r="R24" s="115">
        <v>15</v>
      </c>
      <c r="S24" s="115">
        <v>0</v>
      </c>
      <c r="T24" s="115">
        <v>0</v>
      </c>
      <c r="V24" s="115"/>
      <c r="W24" s="115"/>
      <c r="X24" s="115"/>
      <c r="Z24" s="169">
        <v>4</v>
      </c>
      <c r="AA24" s="169">
        <v>0</v>
      </c>
      <c r="AB24" s="169">
        <v>0</v>
      </c>
      <c r="AC24" s="135">
        <v>3</v>
      </c>
      <c r="AD24" s="169"/>
      <c r="AE24" s="169"/>
      <c r="AF24" s="169"/>
      <c r="AH24" s="169"/>
      <c r="AI24" s="169"/>
      <c r="AJ24" s="169"/>
      <c r="AL24" s="169"/>
      <c r="AM24" s="169"/>
      <c r="AN24" s="169"/>
      <c r="AP24" s="169"/>
      <c r="AQ24" s="169"/>
      <c r="AR24" s="169"/>
      <c r="AT24" s="169"/>
      <c r="AU24" s="169"/>
      <c r="AV24" s="169"/>
      <c r="AX24" s="169"/>
      <c r="AY24" s="169"/>
      <c r="AZ24" s="169"/>
    </row>
    <row r="25" spans="1:52" x14ac:dyDescent="0.25">
      <c r="A25" s="113">
        <v>23</v>
      </c>
      <c r="B25" s="114" t="s">
        <v>354</v>
      </c>
      <c r="C25" s="114" t="s">
        <v>355</v>
      </c>
      <c r="D25" s="113" t="s">
        <v>70</v>
      </c>
      <c r="F25" s="114">
        <v>0</v>
      </c>
      <c r="G25" s="114">
        <v>30</v>
      </c>
      <c r="H25" s="114">
        <v>0</v>
      </c>
      <c r="J25" s="114"/>
      <c r="K25" s="114"/>
      <c r="L25" s="114"/>
      <c r="N25" s="114">
        <v>0</v>
      </c>
      <c r="O25" s="114">
        <v>8</v>
      </c>
      <c r="P25" s="114">
        <v>0</v>
      </c>
      <c r="R25" s="114">
        <v>0</v>
      </c>
      <c r="S25" s="114">
        <v>28</v>
      </c>
      <c r="T25" s="114">
        <v>0</v>
      </c>
      <c r="V25" s="114">
        <v>0</v>
      </c>
      <c r="W25" s="114">
        <v>5</v>
      </c>
      <c r="X25" s="114">
        <v>0</v>
      </c>
      <c r="Z25" s="169">
        <v>0</v>
      </c>
      <c r="AA25" s="169">
        <v>5</v>
      </c>
      <c r="AB25" s="169">
        <v>0</v>
      </c>
      <c r="AC25" s="135">
        <v>3</v>
      </c>
      <c r="AD25" s="169">
        <v>27</v>
      </c>
      <c r="AE25" s="169">
        <v>0</v>
      </c>
      <c r="AF25" s="169">
        <f>VLOOKUP(B25,[4]PCS!$R$1:$U$65536,4,0)</f>
        <v>0</v>
      </c>
      <c r="AH25" s="169"/>
      <c r="AI25" s="169"/>
      <c r="AJ25" s="169"/>
      <c r="AL25" s="169"/>
      <c r="AM25" s="169"/>
      <c r="AN25" s="169"/>
      <c r="AP25" s="169"/>
      <c r="AQ25" s="169"/>
      <c r="AR25" s="169"/>
      <c r="AT25" s="169"/>
      <c r="AU25" s="169"/>
      <c r="AV25" s="169"/>
      <c r="AX25" s="169"/>
      <c r="AY25" s="169"/>
      <c r="AZ25" s="169"/>
    </row>
    <row r="26" spans="1:52" x14ac:dyDescent="0.25">
      <c r="A26" s="113">
        <v>24</v>
      </c>
      <c r="B26" s="114" t="s">
        <v>356</v>
      </c>
      <c r="C26" s="114" t="s">
        <v>357</v>
      </c>
      <c r="D26" s="113" t="s">
        <v>70</v>
      </c>
      <c r="F26" s="114">
        <v>0</v>
      </c>
      <c r="G26" s="114">
        <v>8</v>
      </c>
      <c r="H26" s="114">
        <v>0</v>
      </c>
      <c r="J26" s="114"/>
      <c r="K26" s="114"/>
      <c r="L26" s="114"/>
      <c r="N26" s="114">
        <v>0</v>
      </c>
      <c r="O26" s="114">
        <v>7</v>
      </c>
      <c r="P26" s="114">
        <v>0</v>
      </c>
      <c r="R26" s="114">
        <v>0</v>
      </c>
      <c r="S26" s="114">
        <v>5</v>
      </c>
      <c r="T26" s="114">
        <v>0</v>
      </c>
      <c r="V26" s="114">
        <v>0</v>
      </c>
      <c r="W26" s="114">
        <v>2</v>
      </c>
      <c r="X26" s="114">
        <v>0</v>
      </c>
      <c r="Z26" s="169">
        <v>0</v>
      </c>
      <c r="AA26" s="169">
        <v>5</v>
      </c>
      <c r="AB26" s="169">
        <v>0</v>
      </c>
      <c r="AC26" s="135">
        <v>3</v>
      </c>
      <c r="AD26" s="169">
        <v>9</v>
      </c>
      <c r="AE26" s="169">
        <v>0</v>
      </c>
      <c r="AF26" s="169">
        <f>VLOOKUP(B26,[4]PCS!$R$1:$U$65536,4,0)</f>
        <v>0</v>
      </c>
      <c r="AH26" s="169"/>
      <c r="AI26" s="169"/>
      <c r="AJ26" s="169"/>
      <c r="AL26" s="169"/>
      <c r="AM26" s="169"/>
      <c r="AN26" s="169"/>
      <c r="AP26" s="169"/>
      <c r="AQ26" s="169"/>
      <c r="AR26" s="169"/>
      <c r="AT26" s="169"/>
      <c r="AU26" s="169"/>
      <c r="AV26" s="169"/>
      <c r="AX26" s="169"/>
      <c r="AY26" s="169"/>
      <c r="AZ26" s="169"/>
    </row>
    <row r="27" spans="1:52" x14ac:dyDescent="0.25">
      <c r="A27" s="113">
        <v>25</v>
      </c>
      <c r="B27" s="129" t="s">
        <v>546</v>
      </c>
      <c r="C27" s="128" t="s">
        <v>547</v>
      </c>
      <c r="D27" s="113" t="s">
        <v>70</v>
      </c>
      <c r="E27" s="170"/>
      <c r="F27" s="130"/>
      <c r="G27" s="130"/>
      <c r="H27" s="130"/>
      <c r="I27" s="170"/>
      <c r="J27" s="130"/>
      <c r="K27" s="130"/>
      <c r="L27" s="130"/>
      <c r="M27" s="170"/>
      <c r="N27" s="130"/>
      <c r="O27" s="130"/>
      <c r="P27" s="130"/>
      <c r="Q27" s="170"/>
      <c r="R27" s="130"/>
      <c r="S27" s="130"/>
      <c r="T27" s="130"/>
      <c r="U27" s="170"/>
      <c r="V27" s="130">
        <v>0</v>
      </c>
      <c r="W27" s="130">
        <v>2</v>
      </c>
      <c r="X27" s="130">
        <v>0</v>
      </c>
      <c r="Y27" s="54"/>
      <c r="Z27" s="169">
        <v>0</v>
      </c>
      <c r="AA27" s="169">
        <v>3</v>
      </c>
      <c r="AB27" s="169">
        <v>0</v>
      </c>
      <c r="AC27" s="135">
        <v>3</v>
      </c>
      <c r="AD27" s="169"/>
      <c r="AE27" s="169"/>
      <c r="AF27" s="169"/>
      <c r="AH27" s="169"/>
      <c r="AI27" s="169"/>
      <c r="AJ27" s="169"/>
      <c r="AL27" s="169"/>
      <c r="AM27" s="169"/>
      <c r="AN27" s="169"/>
      <c r="AP27" s="169"/>
      <c r="AQ27" s="169"/>
      <c r="AR27" s="169"/>
      <c r="AT27" s="169"/>
      <c r="AU27" s="169"/>
      <c r="AV27" s="169"/>
      <c r="AX27" s="169"/>
      <c r="AY27" s="169"/>
      <c r="AZ27" s="169"/>
    </row>
    <row r="28" spans="1:52" x14ac:dyDescent="0.25">
      <c r="A28" s="113">
        <v>26</v>
      </c>
      <c r="B28" s="114" t="s">
        <v>358</v>
      </c>
      <c r="C28" s="114" t="s">
        <v>359</v>
      </c>
      <c r="D28" s="113" t="s">
        <v>70</v>
      </c>
      <c r="F28" s="114">
        <v>0</v>
      </c>
      <c r="G28" s="114">
        <v>41</v>
      </c>
      <c r="H28" s="114">
        <v>0</v>
      </c>
      <c r="J28" s="114"/>
      <c r="K28" s="114"/>
      <c r="L28" s="114"/>
      <c r="N28" s="114">
        <v>0</v>
      </c>
      <c r="O28" s="114">
        <v>64</v>
      </c>
      <c r="P28" s="114">
        <v>0</v>
      </c>
      <c r="R28" s="114">
        <v>0</v>
      </c>
      <c r="S28" s="114">
        <v>15</v>
      </c>
      <c r="T28" s="114">
        <v>0</v>
      </c>
      <c r="V28" s="114">
        <v>0</v>
      </c>
      <c r="W28" s="114">
        <v>7</v>
      </c>
      <c r="X28" s="114">
        <v>0</v>
      </c>
      <c r="Z28" s="169">
        <v>0</v>
      </c>
      <c r="AA28" s="169">
        <v>37</v>
      </c>
      <c r="AB28" s="169">
        <v>0</v>
      </c>
      <c r="AC28" s="135">
        <v>3</v>
      </c>
      <c r="AD28" s="169">
        <v>22</v>
      </c>
      <c r="AE28" s="169">
        <v>0</v>
      </c>
      <c r="AF28" s="169">
        <f>VLOOKUP(B28,[4]PCS!$R$1:$U$65536,4,0)</f>
        <v>0</v>
      </c>
      <c r="AH28" s="169"/>
      <c r="AI28" s="169"/>
      <c r="AJ28" s="169"/>
      <c r="AL28" s="169"/>
      <c r="AM28" s="169"/>
      <c r="AN28" s="169"/>
      <c r="AP28" s="169"/>
      <c r="AQ28" s="169"/>
      <c r="AR28" s="169"/>
      <c r="AT28" s="169"/>
      <c r="AU28" s="169"/>
      <c r="AV28" s="169"/>
      <c r="AX28" s="169"/>
      <c r="AY28" s="169"/>
      <c r="AZ28" s="169"/>
    </row>
    <row r="29" spans="1:52" x14ac:dyDescent="0.25">
      <c r="A29" s="113">
        <v>27</v>
      </c>
      <c r="B29" s="114" t="s">
        <v>360</v>
      </c>
      <c r="C29" s="114" t="s">
        <v>361</v>
      </c>
      <c r="D29" s="113" t="s">
        <v>70</v>
      </c>
      <c r="F29" s="115">
        <v>0</v>
      </c>
      <c r="G29" s="115">
        <v>28</v>
      </c>
      <c r="H29" s="115">
        <v>0</v>
      </c>
      <c r="J29" s="115"/>
      <c r="K29" s="115"/>
      <c r="L29" s="115"/>
      <c r="N29" s="115">
        <v>0</v>
      </c>
      <c r="O29" s="115">
        <v>10</v>
      </c>
      <c r="P29" s="115">
        <v>0</v>
      </c>
      <c r="R29" s="115">
        <v>0</v>
      </c>
      <c r="S29" s="115">
        <v>20</v>
      </c>
      <c r="T29" s="115">
        <v>0</v>
      </c>
      <c r="V29" s="115"/>
      <c r="W29" s="115"/>
      <c r="X29" s="115"/>
      <c r="Z29" s="169">
        <v>0</v>
      </c>
      <c r="AA29" s="169">
        <v>1</v>
      </c>
      <c r="AB29" s="169">
        <v>0</v>
      </c>
      <c r="AC29" s="135">
        <v>3</v>
      </c>
      <c r="AD29" s="169">
        <v>4</v>
      </c>
      <c r="AE29" s="169">
        <v>0</v>
      </c>
      <c r="AF29" s="169">
        <f>VLOOKUP(B29,[4]PCS!$R$1:$U$65536,4,0)</f>
        <v>0</v>
      </c>
      <c r="AH29" s="169"/>
      <c r="AI29" s="169"/>
      <c r="AJ29" s="169"/>
      <c r="AL29" s="169"/>
      <c r="AM29" s="169"/>
      <c r="AN29" s="169"/>
      <c r="AP29" s="169"/>
      <c r="AQ29" s="169"/>
      <c r="AR29" s="169"/>
      <c r="AT29" s="169"/>
      <c r="AU29" s="169"/>
      <c r="AV29" s="169"/>
      <c r="AX29" s="169"/>
      <c r="AY29" s="169"/>
      <c r="AZ29" s="169"/>
    </row>
    <row r="30" spans="1:52" x14ac:dyDescent="0.25">
      <c r="A30" s="113">
        <v>28</v>
      </c>
      <c r="B30" s="114" t="s">
        <v>362</v>
      </c>
      <c r="C30" s="114" t="s">
        <v>363</v>
      </c>
      <c r="D30" s="113" t="s">
        <v>70</v>
      </c>
      <c r="F30" s="114">
        <v>0</v>
      </c>
      <c r="G30" s="114">
        <v>17</v>
      </c>
      <c r="H30" s="114">
        <v>0</v>
      </c>
      <c r="J30" s="114"/>
      <c r="K30" s="114"/>
      <c r="L30" s="114"/>
      <c r="N30" s="114">
        <v>0</v>
      </c>
      <c r="O30" s="114">
        <v>11</v>
      </c>
      <c r="P30" s="114">
        <v>0</v>
      </c>
      <c r="R30" s="114">
        <v>0</v>
      </c>
      <c r="S30" s="114">
        <v>3</v>
      </c>
      <c r="T30" s="114">
        <v>0</v>
      </c>
      <c r="V30" s="114">
        <v>0</v>
      </c>
      <c r="W30" s="114">
        <v>25</v>
      </c>
      <c r="X30" s="114">
        <v>0</v>
      </c>
      <c r="Z30" s="169">
        <v>0</v>
      </c>
      <c r="AA30" s="169">
        <v>5</v>
      </c>
      <c r="AB30" s="169">
        <v>0</v>
      </c>
      <c r="AC30" s="135">
        <v>3</v>
      </c>
      <c r="AD30" s="169">
        <v>1</v>
      </c>
      <c r="AE30" s="169">
        <v>0</v>
      </c>
      <c r="AF30" s="169">
        <f>VLOOKUP(B30,[4]PCS!$R$1:$U$65536,4,0)</f>
        <v>0</v>
      </c>
      <c r="AH30" s="169"/>
      <c r="AI30" s="169"/>
      <c r="AJ30" s="169"/>
      <c r="AL30" s="169"/>
      <c r="AM30" s="169"/>
      <c r="AN30" s="169"/>
      <c r="AP30" s="169"/>
      <c r="AQ30" s="169"/>
      <c r="AR30" s="169"/>
      <c r="AT30" s="169"/>
      <c r="AU30" s="169"/>
      <c r="AV30" s="169"/>
      <c r="AX30" s="169"/>
      <c r="AY30" s="169"/>
      <c r="AZ30" s="169"/>
    </row>
    <row r="31" spans="1:52" x14ac:dyDescent="0.25">
      <c r="A31" s="113">
        <v>29</v>
      </c>
      <c r="B31" s="114" t="s">
        <v>364</v>
      </c>
      <c r="C31" s="114" t="s">
        <v>365</v>
      </c>
      <c r="D31" s="113" t="s">
        <v>70</v>
      </c>
      <c r="F31" s="114">
        <v>0</v>
      </c>
      <c r="G31" s="114">
        <v>2</v>
      </c>
      <c r="H31" s="114">
        <v>0</v>
      </c>
      <c r="J31" s="114"/>
      <c r="K31" s="114"/>
      <c r="L31" s="114"/>
      <c r="N31" s="114">
        <v>0</v>
      </c>
      <c r="O31" s="114">
        <v>5</v>
      </c>
      <c r="P31" s="114">
        <v>0</v>
      </c>
      <c r="R31" s="114">
        <v>3</v>
      </c>
      <c r="S31" s="114">
        <v>3</v>
      </c>
      <c r="T31" s="114">
        <v>0</v>
      </c>
      <c r="V31" s="114">
        <v>0</v>
      </c>
      <c r="W31" s="114">
        <v>9</v>
      </c>
      <c r="X31" s="114">
        <v>0</v>
      </c>
      <c r="Z31" s="169">
        <v>0</v>
      </c>
      <c r="AA31" s="169">
        <v>2</v>
      </c>
      <c r="AB31" s="169">
        <v>0</v>
      </c>
      <c r="AC31" s="135">
        <v>3</v>
      </c>
      <c r="AD31" s="169">
        <v>6</v>
      </c>
      <c r="AE31" s="169">
        <v>0</v>
      </c>
      <c r="AF31" s="169">
        <f>VLOOKUP(B31,[4]PCS!$R$1:$U$65536,4,0)</f>
        <v>0</v>
      </c>
      <c r="AH31" s="169"/>
      <c r="AI31" s="169"/>
      <c r="AJ31" s="169"/>
      <c r="AL31" s="169"/>
      <c r="AM31" s="169"/>
      <c r="AN31" s="169"/>
      <c r="AP31" s="169"/>
      <c r="AQ31" s="169"/>
      <c r="AR31" s="169"/>
      <c r="AT31" s="169"/>
      <c r="AU31" s="169"/>
      <c r="AV31" s="169"/>
      <c r="AX31" s="169"/>
      <c r="AY31" s="169"/>
      <c r="AZ31" s="169"/>
    </row>
    <row r="32" spans="1:52" x14ac:dyDescent="0.25">
      <c r="A32" s="113">
        <v>30</v>
      </c>
      <c r="B32" s="114" t="s">
        <v>366</v>
      </c>
      <c r="C32" s="114" t="s">
        <v>367</v>
      </c>
      <c r="D32" s="113" t="s">
        <v>70</v>
      </c>
      <c r="F32" s="115">
        <v>0</v>
      </c>
      <c r="G32" s="115">
        <v>25</v>
      </c>
      <c r="H32" s="115">
        <v>0</v>
      </c>
      <c r="J32" s="115">
        <v>0</v>
      </c>
      <c r="K32" s="115">
        <v>50</v>
      </c>
      <c r="L32" s="115">
        <v>0</v>
      </c>
      <c r="N32" s="115">
        <v>0</v>
      </c>
      <c r="O32" s="115">
        <v>38</v>
      </c>
      <c r="P32" s="115">
        <v>3</v>
      </c>
      <c r="R32" s="115">
        <v>0</v>
      </c>
      <c r="S32" s="115">
        <v>40</v>
      </c>
      <c r="T32" s="115">
        <v>0</v>
      </c>
      <c r="V32" s="115"/>
      <c r="W32" s="115"/>
      <c r="X32" s="115"/>
      <c r="Z32" s="169">
        <v>0</v>
      </c>
      <c r="AA32" s="169">
        <v>40</v>
      </c>
      <c r="AB32" s="169">
        <v>1</v>
      </c>
      <c r="AC32" s="135">
        <v>3</v>
      </c>
      <c r="AD32" s="169"/>
      <c r="AE32" s="169"/>
      <c r="AF32" s="169"/>
      <c r="AH32" s="169"/>
      <c r="AI32" s="169"/>
      <c r="AJ32" s="169"/>
      <c r="AL32" s="169"/>
      <c r="AM32" s="169"/>
      <c r="AN32" s="169"/>
      <c r="AP32" s="169"/>
      <c r="AQ32" s="169"/>
      <c r="AR32" s="169"/>
      <c r="AT32" s="169"/>
      <c r="AU32" s="169"/>
      <c r="AV32" s="169"/>
      <c r="AX32" s="169"/>
      <c r="AY32" s="169"/>
      <c r="AZ32" s="169"/>
    </row>
    <row r="33" spans="1:52" x14ac:dyDescent="0.25">
      <c r="A33" s="113">
        <v>31</v>
      </c>
      <c r="B33" s="125" t="s">
        <v>632</v>
      </c>
      <c r="C33" s="114" t="s">
        <v>367</v>
      </c>
      <c r="D33" s="113"/>
      <c r="F33" s="115"/>
      <c r="G33" s="115"/>
      <c r="H33" s="115"/>
      <c r="J33" s="115"/>
      <c r="K33" s="115"/>
      <c r="L33" s="115"/>
      <c r="N33" s="115"/>
      <c r="O33" s="115"/>
      <c r="P33" s="115"/>
      <c r="R33" s="115"/>
      <c r="S33" s="115"/>
      <c r="T33" s="115"/>
      <c r="V33" s="115"/>
      <c r="W33" s="115"/>
      <c r="X33" s="115"/>
      <c r="Z33" s="169">
        <v>17</v>
      </c>
      <c r="AA33" s="169">
        <v>0</v>
      </c>
      <c r="AB33" s="169">
        <v>0</v>
      </c>
      <c r="AC33" s="135">
        <v>3</v>
      </c>
      <c r="AD33" s="169"/>
      <c r="AE33" s="169"/>
      <c r="AF33" s="169"/>
      <c r="AH33" s="169"/>
      <c r="AI33" s="169"/>
      <c r="AJ33" s="169"/>
      <c r="AL33" s="169"/>
      <c r="AM33" s="169"/>
      <c r="AN33" s="169"/>
      <c r="AP33" s="169"/>
      <c r="AQ33" s="169"/>
      <c r="AR33" s="169"/>
      <c r="AT33" s="169"/>
      <c r="AU33" s="169"/>
      <c r="AV33" s="169"/>
      <c r="AX33" s="169"/>
      <c r="AY33" s="169"/>
      <c r="AZ33" s="169"/>
    </row>
    <row r="34" spans="1:52" x14ac:dyDescent="0.25">
      <c r="A34" s="113">
        <v>32</v>
      </c>
      <c r="B34" s="114" t="s">
        <v>368</v>
      </c>
      <c r="C34" s="114" t="s">
        <v>369</v>
      </c>
      <c r="D34" s="113" t="s">
        <v>70</v>
      </c>
      <c r="F34" s="115">
        <v>0</v>
      </c>
      <c r="G34" s="115">
        <v>25</v>
      </c>
      <c r="H34" s="115">
        <v>0</v>
      </c>
      <c r="J34" s="115">
        <v>0</v>
      </c>
      <c r="K34" s="115">
        <v>50</v>
      </c>
      <c r="L34" s="115">
        <v>0</v>
      </c>
      <c r="N34" s="115">
        <v>0</v>
      </c>
      <c r="O34" s="115">
        <v>41</v>
      </c>
      <c r="P34" s="115">
        <v>0</v>
      </c>
      <c r="R34" s="115">
        <v>2</v>
      </c>
      <c r="S34" s="115">
        <v>40</v>
      </c>
      <c r="T34" s="115">
        <v>0</v>
      </c>
      <c r="V34" s="115"/>
      <c r="W34" s="115"/>
      <c r="X34" s="115"/>
      <c r="Z34" s="169">
        <v>0</v>
      </c>
      <c r="AA34" s="169">
        <v>40</v>
      </c>
      <c r="AB34" s="169">
        <v>0</v>
      </c>
      <c r="AC34" s="135">
        <v>3</v>
      </c>
      <c r="AD34" s="169"/>
      <c r="AE34" s="169"/>
      <c r="AF34" s="169"/>
      <c r="AH34" s="169"/>
      <c r="AI34" s="169"/>
      <c r="AJ34" s="169"/>
      <c r="AL34" s="169"/>
      <c r="AM34" s="169"/>
      <c r="AN34" s="169"/>
      <c r="AP34" s="169"/>
      <c r="AQ34" s="169"/>
      <c r="AR34" s="169"/>
      <c r="AT34" s="169"/>
      <c r="AU34" s="169"/>
      <c r="AV34" s="169"/>
      <c r="AX34" s="169"/>
      <c r="AY34" s="169"/>
      <c r="AZ34" s="169"/>
    </row>
    <row r="35" spans="1:52" x14ac:dyDescent="0.25">
      <c r="A35" s="113">
        <v>33</v>
      </c>
      <c r="B35" s="114" t="s">
        <v>370</v>
      </c>
      <c r="C35" s="114" t="s">
        <v>371</v>
      </c>
      <c r="D35" s="113" t="s">
        <v>70</v>
      </c>
      <c r="F35" s="115">
        <v>0</v>
      </c>
      <c r="G35" s="115">
        <v>44</v>
      </c>
      <c r="H35" s="115">
        <v>3</v>
      </c>
      <c r="J35" s="115">
        <v>0</v>
      </c>
      <c r="K35" s="115">
        <v>40</v>
      </c>
      <c r="L35" s="115">
        <v>3</v>
      </c>
      <c r="N35" s="115">
        <v>0</v>
      </c>
      <c r="O35" s="115">
        <v>30</v>
      </c>
      <c r="P35" s="115">
        <v>0</v>
      </c>
      <c r="R35" s="115">
        <v>0</v>
      </c>
      <c r="S35" s="115">
        <v>40</v>
      </c>
      <c r="T35" s="115">
        <v>0</v>
      </c>
      <c r="V35" s="115"/>
      <c r="W35" s="115"/>
      <c r="X35" s="115"/>
      <c r="Z35" s="169"/>
      <c r="AA35" s="169"/>
      <c r="AB35" s="169"/>
      <c r="AC35" s="135">
        <v>3</v>
      </c>
      <c r="AD35" s="169"/>
      <c r="AE35" s="169"/>
      <c r="AF35" s="169"/>
      <c r="AH35" s="169"/>
      <c r="AI35" s="169"/>
      <c r="AJ35" s="169"/>
      <c r="AL35" s="169"/>
      <c r="AM35" s="169"/>
      <c r="AN35" s="169"/>
      <c r="AP35" s="169"/>
      <c r="AQ35" s="169"/>
      <c r="AR35" s="169"/>
      <c r="AT35" s="169"/>
      <c r="AU35" s="169"/>
      <c r="AV35" s="169"/>
      <c r="AX35" s="169"/>
      <c r="AY35" s="169"/>
      <c r="AZ35" s="169"/>
    </row>
    <row r="36" spans="1:52" x14ac:dyDescent="0.25">
      <c r="A36" s="113">
        <v>34</v>
      </c>
      <c r="B36" s="114" t="s">
        <v>372</v>
      </c>
      <c r="C36" s="114" t="s">
        <v>371</v>
      </c>
      <c r="D36" s="113" t="s">
        <v>70</v>
      </c>
      <c r="F36" s="115">
        <v>0</v>
      </c>
      <c r="G36" s="115">
        <v>25</v>
      </c>
      <c r="H36" s="115">
        <v>0</v>
      </c>
      <c r="J36" s="115"/>
      <c r="K36" s="115"/>
      <c r="L36" s="115"/>
      <c r="N36" s="115"/>
      <c r="O36" s="115"/>
      <c r="P36" s="115"/>
      <c r="R36" s="115">
        <v>0</v>
      </c>
      <c r="S36" s="115">
        <v>40</v>
      </c>
      <c r="T36" s="115">
        <v>0</v>
      </c>
      <c r="V36" s="115"/>
      <c r="W36" s="115"/>
      <c r="X36" s="115"/>
      <c r="Z36" s="169"/>
      <c r="AA36" s="169"/>
      <c r="AB36" s="169"/>
      <c r="AC36" s="135">
        <v>3</v>
      </c>
      <c r="AD36" s="169"/>
      <c r="AE36" s="169"/>
      <c r="AF36" s="169"/>
      <c r="AH36" s="169"/>
      <c r="AI36" s="169"/>
      <c r="AJ36" s="169"/>
      <c r="AL36" s="169"/>
      <c r="AM36" s="169"/>
      <c r="AN36" s="169"/>
      <c r="AP36" s="169"/>
      <c r="AQ36" s="169"/>
      <c r="AR36" s="169"/>
      <c r="AT36" s="169"/>
      <c r="AU36" s="169"/>
      <c r="AV36" s="169"/>
      <c r="AX36" s="169"/>
      <c r="AY36" s="169"/>
      <c r="AZ36" s="169"/>
    </row>
    <row r="37" spans="1:52" x14ac:dyDescent="0.25">
      <c r="A37" s="113">
        <v>35</v>
      </c>
      <c r="B37" s="114" t="s">
        <v>373</v>
      </c>
      <c r="C37" s="114" t="s">
        <v>374</v>
      </c>
      <c r="D37" s="113" t="s">
        <v>70</v>
      </c>
      <c r="F37" s="115">
        <v>0</v>
      </c>
      <c r="G37" s="115">
        <v>44</v>
      </c>
      <c r="H37" s="115">
        <v>3</v>
      </c>
      <c r="J37" s="115">
        <v>0</v>
      </c>
      <c r="K37" s="115">
        <v>40</v>
      </c>
      <c r="L37" s="115">
        <v>3</v>
      </c>
      <c r="N37" s="115">
        <v>0</v>
      </c>
      <c r="O37" s="115">
        <v>30</v>
      </c>
      <c r="P37" s="115">
        <v>0</v>
      </c>
      <c r="R37" s="115">
        <v>0</v>
      </c>
      <c r="S37" s="115">
        <v>40</v>
      </c>
      <c r="T37" s="115">
        <v>0</v>
      </c>
      <c r="V37" s="115"/>
      <c r="W37" s="115"/>
      <c r="X37" s="115"/>
      <c r="Z37" s="169">
        <v>40</v>
      </c>
      <c r="AA37" s="169">
        <v>0</v>
      </c>
      <c r="AB37" s="169">
        <v>0</v>
      </c>
      <c r="AC37" s="135">
        <v>3</v>
      </c>
      <c r="AD37" s="169"/>
      <c r="AE37" s="169"/>
      <c r="AF37" s="169"/>
      <c r="AH37" s="169"/>
      <c r="AI37" s="169"/>
      <c r="AJ37" s="169"/>
      <c r="AL37" s="169"/>
      <c r="AM37" s="169"/>
      <c r="AN37" s="169"/>
      <c r="AP37" s="169"/>
      <c r="AQ37" s="169"/>
      <c r="AR37" s="169"/>
      <c r="AT37" s="169"/>
      <c r="AU37" s="169"/>
      <c r="AV37" s="169"/>
      <c r="AX37" s="169"/>
      <c r="AY37" s="169"/>
      <c r="AZ37" s="169"/>
    </row>
    <row r="38" spans="1:52" x14ac:dyDescent="0.25">
      <c r="A38" s="113">
        <v>36</v>
      </c>
      <c r="B38" s="114" t="s">
        <v>375</v>
      </c>
      <c r="C38" s="114" t="s">
        <v>374</v>
      </c>
      <c r="D38" s="113" t="s">
        <v>70</v>
      </c>
      <c r="F38" s="115">
        <v>0</v>
      </c>
      <c r="G38" s="115">
        <v>35</v>
      </c>
      <c r="H38" s="115">
        <v>0</v>
      </c>
      <c r="J38" s="115"/>
      <c r="K38" s="115"/>
      <c r="L38" s="115"/>
      <c r="N38" s="115"/>
      <c r="O38" s="115"/>
      <c r="P38" s="115"/>
      <c r="R38" s="115">
        <v>0</v>
      </c>
      <c r="S38" s="115">
        <v>40</v>
      </c>
      <c r="T38" s="115">
        <v>0</v>
      </c>
      <c r="V38" s="115"/>
      <c r="W38" s="115"/>
      <c r="X38" s="115"/>
      <c r="Z38" s="169"/>
      <c r="AA38" s="169"/>
      <c r="AB38" s="169"/>
      <c r="AC38" s="135">
        <v>3</v>
      </c>
      <c r="AD38" s="169"/>
      <c r="AE38" s="169"/>
      <c r="AF38" s="169"/>
      <c r="AH38" s="169"/>
      <c r="AI38" s="169"/>
      <c r="AJ38" s="169"/>
      <c r="AL38" s="169"/>
      <c r="AM38" s="169"/>
      <c r="AN38" s="169"/>
      <c r="AP38" s="169"/>
      <c r="AQ38" s="169"/>
      <c r="AR38" s="169"/>
      <c r="AT38" s="169"/>
      <c r="AU38" s="169"/>
      <c r="AV38" s="169"/>
      <c r="AX38" s="169"/>
      <c r="AY38" s="169"/>
      <c r="AZ38" s="169"/>
    </row>
    <row r="39" spans="1:52" x14ac:dyDescent="0.25">
      <c r="A39" s="113">
        <v>37</v>
      </c>
      <c r="B39" s="114" t="s">
        <v>376</v>
      </c>
      <c r="C39" s="114" t="s">
        <v>377</v>
      </c>
      <c r="D39" s="113" t="s">
        <v>70</v>
      </c>
      <c r="F39" s="115">
        <v>83</v>
      </c>
      <c r="G39" s="115">
        <v>0</v>
      </c>
      <c r="H39" s="115">
        <v>0</v>
      </c>
      <c r="J39" s="115"/>
      <c r="K39" s="115"/>
      <c r="L39" s="115"/>
      <c r="N39" s="115">
        <v>134</v>
      </c>
      <c r="O39" s="115">
        <v>0</v>
      </c>
      <c r="P39" s="115">
        <v>4</v>
      </c>
      <c r="R39" s="115"/>
      <c r="S39" s="115"/>
      <c r="T39" s="115"/>
      <c r="V39" s="115"/>
      <c r="W39" s="115"/>
      <c r="X39" s="115"/>
      <c r="Z39" s="169">
        <v>40</v>
      </c>
      <c r="AA39" s="169">
        <v>0</v>
      </c>
      <c r="AB39" s="169">
        <v>0</v>
      </c>
      <c r="AC39" s="135">
        <v>3</v>
      </c>
      <c r="AD39" s="169"/>
      <c r="AE39" s="169"/>
      <c r="AF39" s="169"/>
      <c r="AH39" s="169"/>
      <c r="AI39" s="169"/>
      <c r="AJ39" s="169"/>
      <c r="AL39" s="169"/>
      <c r="AM39" s="169"/>
      <c r="AN39" s="169"/>
      <c r="AP39" s="169"/>
      <c r="AQ39" s="169"/>
      <c r="AR39" s="169"/>
      <c r="AT39" s="169"/>
      <c r="AU39" s="169"/>
      <c r="AV39" s="169"/>
      <c r="AX39" s="169"/>
      <c r="AY39" s="169"/>
      <c r="AZ39" s="169"/>
    </row>
    <row r="40" spans="1:52" x14ac:dyDescent="0.25">
      <c r="A40" s="113">
        <v>38</v>
      </c>
      <c r="B40" s="114" t="s">
        <v>378</v>
      </c>
      <c r="C40" s="114" t="s">
        <v>379</v>
      </c>
      <c r="D40" s="113" t="s">
        <v>70</v>
      </c>
      <c r="F40" s="115">
        <v>83</v>
      </c>
      <c r="G40" s="115">
        <v>0</v>
      </c>
      <c r="H40" s="115">
        <v>0</v>
      </c>
      <c r="J40" s="115"/>
      <c r="K40" s="115"/>
      <c r="L40" s="115"/>
      <c r="N40" s="115">
        <v>134</v>
      </c>
      <c r="O40" s="115">
        <v>0</v>
      </c>
      <c r="P40" s="115">
        <v>4</v>
      </c>
      <c r="R40" s="115"/>
      <c r="S40" s="115"/>
      <c r="T40" s="115"/>
      <c r="V40" s="115"/>
      <c r="W40" s="115"/>
      <c r="X40" s="115"/>
      <c r="Z40" s="169">
        <v>40</v>
      </c>
      <c r="AA40" s="169">
        <v>0</v>
      </c>
      <c r="AB40" s="169">
        <v>0</v>
      </c>
      <c r="AC40" s="135">
        <v>3</v>
      </c>
      <c r="AD40" s="169"/>
      <c r="AE40" s="169"/>
      <c r="AF40" s="169"/>
      <c r="AH40" s="169"/>
      <c r="AI40" s="169"/>
      <c r="AJ40" s="169"/>
      <c r="AL40" s="169"/>
      <c r="AM40" s="169"/>
      <c r="AN40" s="169"/>
      <c r="AP40" s="169"/>
      <c r="AQ40" s="169"/>
      <c r="AR40" s="169"/>
      <c r="AT40" s="169"/>
      <c r="AU40" s="169"/>
      <c r="AV40" s="169"/>
      <c r="AX40" s="169"/>
      <c r="AY40" s="169"/>
      <c r="AZ40" s="169"/>
    </row>
    <row r="41" spans="1:52" x14ac:dyDescent="0.25">
      <c r="A41" s="113">
        <v>39</v>
      </c>
      <c r="B41" s="114" t="s">
        <v>380</v>
      </c>
      <c r="C41" s="114" t="s">
        <v>381</v>
      </c>
      <c r="D41" s="113" t="s">
        <v>70</v>
      </c>
      <c r="F41" s="114">
        <v>0</v>
      </c>
      <c r="G41" s="114">
        <v>300</v>
      </c>
      <c r="H41" s="114">
        <v>0</v>
      </c>
      <c r="J41" s="114">
        <v>0</v>
      </c>
      <c r="K41" s="114">
        <v>200</v>
      </c>
      <c r="L41" s="114">
        <v>0</v>
      </c>
      <c r="N41" s="114">
        <v>0</v>
      </c>
      <c r="O41" s="114">
        <v>300</v>
      </c>
      <c r="P41" s="114">
        <v>4</v>
      </c>
      <c r="R41" s="114">
        <v>0</v>
      </c>
      <c r="S41" s="114">
        <v>254</v>
      </c>
      <c r="T41" s="114">
        <v>2</v>
      </c>
      <c r="V41" s="114">
        <v>0</v>
      </c>
      <c r="W41" s="114">
        <v>195</v>
      </c>
      <c r="X41" s="114">
        <v>2</v>
      </c>
      <c r="Z41" s="169">
        <v>156</v>
      </c>
      <c r="AA41" s="169">
        <v>36</v>
      </c>
      <c r="AB41" s="169">
        <v>0</v>
      </c>
      <c r="AC41" s="135">
        <v>3</v>
      </c>
      <c r="AD41" s="169">
        <v>149</v>
      </c>
      <c r="AE41" s="169">
        <v>0</v>
      </c>
      <c r="AF41" s="169">
        <f>VLOOKUP(B41,[4]PCS!$R$1:$U$65536,4,0)</f>
        <v>0</v>
      </c>
      <c r="AH41" s="169"/>
      <c r="AI41" s="169"/>
      <c r="AJ41" s="169"/>
      <c r="AL41" s="169"/>
      <c r="AM41" s="169"/>
      <c r="AN41" s="169"/>
      <c r="AP41" s="169"/>
      <c r="AQ41" s="169"/>
      <c r="AR41" s="169"/>
      <c r="AT41" s="169"/>
      <c r="AU41" s="169"/>
      <c r="AV41" s="169"/>
      <c r="AX41" s="169"/>
      <c r="AY41" s="169"/>
      <c r="AZ41" s="169"/>
    </row>
    <row r="42" spans="1:52" x14ac:dyDescent="0.25">
      <c r="A42" s="113">
        <v>40</v>
      </c>
      <c r="B42" s="114" t="s">
        <v>382</v>
      </c>
      <c r="C42" s="114" t="s">
        <v>383</v>
      </c>
      <c r="D42" s="113" t="s">
        <v>70</v>
      </c>
      <c r="F42" s="114">
        <v>286</v>
      </c>
      <c r="G42" s="114">
        <v>14</v>
      </c>
      <c r="H42" s="114">
        <v>0</v>
      </c>
      <c r="J42" s="114">
        <v>176</v>
      </c>
      <c r="K42" s="114">
        <v>24</v>
      </c>
      <c r="L42" s="114">
        <v>26</v>
      </c>
      <c r="N42" s="114">
        <v>294</v>
      </c>
      <c r="O42" s="114">
        <v>6</v>
      </c>
      <c r="P42" s="114">
        <v>0</v>
      </c>
      <c r="R42" s="114">
        <v>192</v>
      </c>
      <c r="S42" s="114">
        <v>8</v>
      </c>
      <c r="T42" s="114">
        <v>0</v>
      </c>
      <c r="V42" s="114">
        <v>200</v>
      </c>
      <c r="W42" s="114">
        <v>0</v>
      </c>
      <c r="X42" s="114">
        <v>0</v>
      </c>
      <c r="Z42" s="169"/>
      <c r="AA42" s="169"/>
      <c r="AB42" s="169"/>
      <c r="AC42" s="135">
        <v>3</v>
      </c>
      <c r="AD42" s="169">
        <f>VLOOKUP(B42,[4]PCS!$R$1:$S$65536,2,0)</f>
        <v>100</v>
      </c>
      <c r="AE42" s="169">
        <f>VLOOKUP(B42,[4]PCS!$R$1:$T$65536,3,0)</f>
        <v>0</v>
      </c>
      <c r="AF42" s="169">
        <f>VLOOKUP(B42,[4]PCS!$R$1:$U$65536,4,0)</f>
        <v>0</v>
      </c>
      <c r="AH42" s="169"/>
      <c r="AI42" s="169"/>
      <c r="AJ42" s="169"/>
      <c r="AL42" s="169"/>
      <c r="AM42" s="169"/>
      <c r="AN42" s="169"/>
      <c r="AP42" s="169"/>
      <c r="AQ42" s="169"/>
      <c r="AR42" s="169"/>
      <c r="AT42" s="169"/>
      <c r="AU42" s="169"/>
      <c r="AV42" s="169"/>
      <c r="AX42" s="169"/>
      <c r="AY42" s="169"/>
      <c r="AZ42" s="169"/>
    </row>
    <row r="43" spans="1:52" x14ac:dyDescent="0.25">
      <c r="A43" s="113">
        <v>41</v>
      </c>
      <c r="B43" s="125" t="s">
        <v>633</v>
      </c>
      <c r="C43" s="114" t="s">
        <v>383</v>
      </c>
      <c r="D43" s="113"/>
      <c r="F43" s="115"/>
      <c r="G43" s="115"/>
      <c r="H43" s="115"/>
      <c r="J43" s="115"/>
      <c r="K43" s="115"/>
      <c r="L43" s="115"/>
      <c r="N43" s="115"/>
      <c r="O43" s="115"/>
      <c r="P43" s="115"/>
      <c r="R43" s="115"/>
      <c r="S43" s="115"/>
      <c r="T43" s="115"/>
      <c r="V43" s="115"/>
      <c r="W43" s="115"/>
      <c r="X43" s="115"/>
      <c r="Z43" s="169">
        <v>116</v>
      </c>
      <c r="AA43" s="169">
        <v>0</v>
      </c>
      <c r="AB43" s="169">
        <v>0</v>
      </c>
      <c r="AC43" s="135">
        <v>3</v>
      </c>
      <c r="AD43" s="169"/>
      <c r="AE43" s="169"/>
      <c r="AF43" s="169"/>
      <c r="AH43" s="169"/>
      <c r="AI43" s="169"/>
      <c r="AJ43" s="169"/>
      <c r="AL43" s="169"/>
      <c r="AM43" s="169"/>
      <c r="AN43" s="169"/>
      <c r="AP43" s="169"/>
      <c r="AQ43" s="169"/>
      <c r="AR43" s="169"/>
      <c r="AT43" s="169"/>
      <c r="AU43" s="169"/>
      <c r="AV43" s="169"/>
      <c r="AX43" s="169"/>
      <c r="AY43" s="169"/>
      <c r="AZ43" s="169"/>
    </row>
    <row r="44" spans="1:52" x14ac:dyDescent="0.25">
      <c r="A44" s="113">
        <v>42</v>
      </c>
      <c r="B44" s="114" t="s">
        <v>384</v>
      </c>
      <c r="C44" s="114" t="s">
        <v>385</v>
      </c>
      <c r="D44" s="113" t="s">
        <v>70</v>
      </c>
      <c r="F44" s="114">
        <v>0</v>
      </c>
      <c r="G44" s="114">
        <v>114</v>
      </c>
      <c r="H44" s="114">
        <v>0</v>
      </c>
      <c r="J44" s="114">
        <v>0</v>
      </c>
      <c r="K44" s="114">
        <v>120</v>
      </c>
      <c r="L44" s="114">
        <v>0</v>
      </c>
      <c r="N44" s="114">
        <v>0</v>
      </c>
      <c r="O44" s="114">
        <v>32</v>
      </c>
      <c r="P44" s="114">
        <v>0</v>
      </c>
      <c r="R44" s="114">
        <v>0</v>
      </c>
      <c r="S44" s="114">
        <v>100</v>
      </c>
      <c r="T44" s="114">
        <v>0</v>
      </c>
      <c r="V44" s="114">
        <v>0</v>
      </c>
      <c r="W44" s="114">
        <v>55</v>
      </c>
      <c r="X44" s="114">
        <v>0</v>
      </c>
      <c r="Z44" s="169">
        <v>0</v>
      </c>
      <c r="AA44" s="169">
        <v>15</v>
      </c>
      <c r="AB44" s="169">
        <v>2</v>
      </c>
      <c r="AC44" s="135">
        <v>3</v>
      </c>
      <c r="AD44" s="169">
        <v>36</v>
      </c>
      <c r="AE44" s="169">
        <v>0</v>
      </c>
      <c r="AF44" s="169">
        <f>VLOOKUP(B44,[4]PCS!$R$1:$U$65536,4,0)</f>
        <v>0</v>
      </c>
      <c r="AH44" s="169"/>
      <c r="AI44" s="169"/>
      <c r="AJ44" s="169"/>
      <c r="AL44" s="169"/>
      <c r="AM44" s="169"/>
      <c r="AN44" s="169"/>
      <c r="AP44" s="169"/>
      <c r="AQ44" s="169"/>
      <c r="AR44" s="169"/>
      <c r="AT44" s="169"/>
      <c r="AU44" s="169"/>
      <c r="AV44" s="169"/>
      <c r="AX44" s="169"/>
      <c r="AY44" s="169"/>
      <c r="AZ44" s="169"/>
    </row>
    <row r="45" spans="1:52" x14ac:dyDescent="0.25">
      <c r="A45" s="113">
        <v>43</v>
      </c>
      <c r="B45" s="114" t="s">
        <v>386</v>
      </c>
      <c r="C45" s="114" t="s">
        <v>387</v>
      </c>
      <c r="D45" s="113" t="s">
        <v>70</v>
      </c>
      <c r="F45" s="114">
        <v>0</v>
      </c>
      <c r="G45" s="114">
        <v>128</v>
      </c>
      <c r="H45" s="114">
        <v>0</v>
      </c>
      <c r="J45" s="114">
        <v>0</v>
      </c>
      <c r="K45" s="114">
        <v>46</v>
      </c>
      <c r="L45" s="114">
        <v>0</v>
      </c>
      <c r="N45" s="114">
        <v>0</v>
      </c>
      <c r="O45" s="114">
        <v>11</v>
      </c>
      <c r="P45" s="114">
        <v>0</v>
      </c>
      <c r="R45" s="114">
        <v>0</v>
      </c>
      <c r="S45" s="114">
        <v>103</v>
      </c>
      <c r="T45" s="114">
        <v>0</v>
      </c>
      <c r="V45" s="114">
        <v>0</v>
      </c>
      <c r="W45" s="114">
        <v>17</v>
      </c>
      <c r="X45" s="114">
        <v>0</v>
      </c>
      <c r="Z45" s="169">
        <v>0</v>
      </c>
      <c r="AA45" s="169">
        <v>64</v>
      </c>
      <c r="AB45" s="169">
        <v>0</v>
      </c>
      <c r="AC45" s="135">
        <v>3</v>
      </c>
      <c r="AD45" s="169">
        <v>117</v>
      </c>
      <c r="AE45" s="169">
        <v>0</v>
      </c>
      <c r="AF45" s="169">
        <f>VLOOKUP(B45,[4]PCS!$R$1:$U$65536,4,0)</f>
        <v>0</v>
      </c>
      <c r="AH45" s="169"/>
      <c r="AI45" s="169"/>
      <c r="AJ45" s="169"/>
      <c r="AL45" s="169"/>
      <c r="AM45" s="169"/>
      <c r="AN45" s="169"/>
      <c r="AP45" s="169"/>
      <c r="AQ45" s="169"/>
      <c r="AR45" s="169"/>
      <c r="AT45" s="169"/>
      <c r="AU45" s="169"/>
      <c r="AV45" s="169"/>
      <c r="AX45" s="169"/>
      <c r="AY45" s="169"/>
      <c r="AZ45" s="169"/>
    </row>
    <row r="46" spans="1:52" x14ac:dyDescent="0.25">
      <c r="A46" s="113">
        <v>44</v>
      </c>
      <c r="B46" s="114" t="s">
        <v>388</v>
      </c>
      <c r="C46" s="114" t="s">
        <v>389</v>
      </c>
      <c r="D46" s="113" t="s">
        <v>70</v>
      </c>
      <c r="F46" s="114">
        <v>0</v>
      </c>
      <c r="G46" s="114">
        <v>2</v>
      </c>
      <c r="H46" s="114">
        <v>0</v>
      </c>
      <c r="J46" s="114">
        <v>0</v>
      </c>
      <c r="K46" s="114">
        <v>32</v>
      </c>
      <c r="L46" s="114">
        <v>0</v>
      </c>
      <c r="N46" s="114">
        <v>0</v>
      </c>
      <c r="O46" s="114">
        <v>2</v>
      </c>
      <c r="P46" s="114">
        <v>0</v>
      </c>
      <c r="R46" s="114"/>
      <c r="S46" s="114"/>
      <c r="T46" s="114"/>
      <c r="V46" s="114">
        <v>0</v>
      </c>
      <c r="W46" s="114">
        <v>7</v>
      </c>
      <c r="X46" s="114">
        <v>0</v>
      </c>
      <c r="Z46" s="169">
        <v>0</v>
      </c>
      <c r="AA46" s="169">
        <v>12</v>
      </c>
      <c r="AB46" s="169">
        <v>0</v>
      </c>
      <c r="AC46" s="135">
        <v>3</v>
      </c>
      <c r="AD46" s="169">
        <v>6</v>
      </c>
      <c r="AE46" s="169">
        <v>0</v>
      </c>
      <c r="AF46" s="169">
        <f>VLOOKUP(B46,[4]PCS!$R$1:$U$65536,4,0)</f>
        <v>0</v>
      </c>
      <c r="AH46" s="169"/>
      <c r="AI46" s="169"/>
      <c r="AJ46" s="169"/>
      <c r="AL46" s="169"/>
      <c r="AM46" s="169"/>
      <c r="AN46" s="169"/>
      <c r="AP46" s="169"/>
      <c r="AQ46" s="169"/>
      <c r="AR46" s="169"/>
      <c r="AT46" s="169"/>
      <c r="AU46" s="169"/>
      <c r="AV46" s="169"/>
      <c r="AX46" s="169"/>
      <c r="AY46" s="169"/>
      <c r="AZ46" s="169"/>
    </row>
    <row r="47" spans="1:52" x14ac:dyDescent="0.25">
      <c r="A47" s="113">
        <v>45</v>
      </c>
      <c r="B47" s="114" t="s">
        <v>390</v>
      </c>
      <c r="C47" s="114" t="s">
        <v>391</v>
      </c>
      <c r="D47" s="113" t="s">
        <v>70</v>
      </c>
      <c r="F47" s="114">
        <v>0</v>
      </c>
      <c r="G47" s="114">
        <v>2</v>
      </c>
      <c r="H47" s="114">
        <v>0</v>
      </c>
      <c r="J47" s="114">
        <v>0</v>
      </c>
      <c r="K47" s="114">
        <v>7</v>
      </c>
      <c r="L47" s="114">
        <v>0</v>
      </c>
      <c r="N47" s="114">
        <v>0</v>
      </c>
      <c r="O47" s="114">
        <v>43</v>
      </c>
      <c r="P47" s="114">
        <v>0</v>
      </c>
      <c r="R47" s="114">
        <v>2</v>
      </c>
      <c r="S47" s="114">
        <v>42</v>
      </c>
      <c r="T47" s="114">
        <v>0</v>
      </c>
      <c r="V47" s="114">
        <v>0</v>
      </c>
      <c r="W47" s="114">
        <v>2</v>
      </c>
      <c r="X47" s="114">
        <v>0</v>
      </c>
      <c r="Z47" s="169">
        <v>0</v>
      </c>
      <c r="AA47" s="169">
        <v>2</v>
      </c>
      <c r="AB47" s="169">
        <v>0</v>
      </c>
      <c r="AC47" s="135">
        <v>3</v>
      </c>
      <c r="AD47" s="169">
        <v>54</v>
      </c>
      <c r="AE47" s="169">
        <v>0</v>
      </c>
      <c r="AF47" s="169">
        <f>VLOOKUP(B47,[4]PCS!$R$1:$U$65536,4,0)</f>
        <v>0</v>
      </c>
      <c r="AH47" s="169"/>
      <c r="AI47" s="169"/>
      <c r="AJ47" s="169"/>
      <c r="AL47" s="169"/>
      <c r="AM47" s="169"/>
      <c r="AN47" s="169"/>
      <c r="AP47" s="169"/>
      <c r="AQ47" s="169"/>
      <c r="AR47" s="169"/>
      <c r="AT47" s="169"/>
      <c r="AU47" s="169"/>
      <c r="AV47" s="169"/>
      <c r="AX47" s="169"/>
      <c r="AY47" s="169"/>
      <c r="AZ47" s="169"/>
    </row>
    <row r="48" spans="1:52" x14ac:dyDescent="0.25">
      <c r="A48" s="113">
        <v>46</v>
      </c>
      <c r="B48" s="125" t="s">
        <v>510</v>
      </c>
      <c r="C48" s="114" t="s">
        <v>509</v>
      </c>
      <c r="D48" s="113" t="s">
        <v>70</v>
      </c>
      <c r="F48" s="115"/>
      <c r="G48" s="115"/>
      <c r="H48" s="115"/>
      <c r="J48" s="115"/>
      <c r="K48" s="115"/>
      <c r="L48" s="115"/>
      <c r="N48" s="115">
        <v>2</v>
      </c>
      <c r="O48" s="115">
        <v>0</v>
      </c>
      <c r="P48" s="115">
        <v>0</v>
      </c>
      <c r="R48" s="115"/>
      <c r="S48" s="115"/>
      <c r="T48" s="115"/>
      <c r="V48" s="115"/>
      <c r="W48" s="115"/>
      <c r="X48" s="115"/>
      <c r="Z48" s="169"/>
      <c r="AA48" s="169"/>
      <c r="AB48" s="169"/>
      <c r="AC48" s="135">
        <v>3</v>
      </c>
      <c r="AD48" s="169"/>
      <c r="AE48" s="169"/>
      <c r="AF48" s="169"/>
      <c r="AH48" s="169"/>
      <c r="AI48" s="169"/>
      <c r="AJ48" s="169"/>
      <c r="AL48" s="169"/>
      <c r="AM48" s="169"/>
      <c r="AN48" s="169"/>
      <c r="AP48" s="169"/>
      <c r="AQ48" s="169"/>
      <c r="AR48" s="169"/>
      <c r="AT48" s="169"/>
      <c r="AU48" s="169"/>
      <c r="AV48" s="169"/>
      <c r="AX48" s="169"/>
      <c r="AY48" s="169"/>
      <c r="AZ48" s="169"/>
    </row>
    <row r="49" spans="1:52" x14ac:dyDescent="0.25">
      <c r="A49" s="113">
        <v>47</v>
      </c>
      <c r="B49" s="125" t="s">
        <v>506</v>
      </c>
      <c r="C49" s="114" t="s">
        <v>505</v>
      </c>
      <c r="D49" s="113" t="s">
        <v>70</v>
      </c>
      <c r="F49" s="115"/>
      <c r="G49" s="115"/>
      <c r="H49" s="115"/>
      <c r="J49" s="115"/>
      <c r="K49" s="115"/>
      <c r="L49" s="115"/>
      <c r="N49" s="115">
        <v>3</v>
      </c>
      <c r="O49" s="115">
        <v>0</v>
      </c>
      <c r="P49" s="115">
        <v>0</v>
      </c>
      <c r="R49" s="115"/>
      <c r="S49" s="115"/>
      <c r="T49" s="115"/>
      <c r="V49" s="115"/>
      <c r="W49" s="115"/>
      <c r="X49" s="115"/>
      <c r="Z49" s="169"/>
      <c r="AA49" s="169"/>
      <c r="AB49" s="169"/>
      <c r="AC49" s="135">
        <v>3</v>
      </c>
      <c r="AD49" s="169">
        <f>VLOOKUP(B49,[4]PCS!$R$1:$S$65536,2,0)</f>
        <v>6</v>
      </c>
      <c r="AE49" s="169">
        <f>VLOOKUP(B49,[4]PCS!$R$1:$T$65536,3,0)</f>
        <v>0</v>
      </c>
      <c r="AF49" s="169">
        <f>VLOOKUP(B49,[4]PCS!$R$1:$U$65536,4,0)</f>
        <v>0</v>
      </c>
      <c r="AH49" s="169"/>
      <c r="AI49" s="169"/>
      <c r="AJ49" s="169"/>
      <c r="AL49" s="169"/>
      <c r="AM49" s="169"/>
      <c r="AN49" s="169"/>
      <c r="AP49" s="169"/>
      <c r="AQ49" s="169"/>
      <c r="AR49" s="169"/>
      <c r="AT49" s="169"/>
      <c r="AU49" s="169"/>
      <c r="AV49" s="169"/>
      <c r="AX49" s="169"/>
      <c r="AY49" s="169"/>
      <c r="AZ49" s="169"/>
    </row>
    <row r="50" spans="1:52" x14ac:dyDescent="0.25">
      <c r="A50" s="113">
        <v>48</v>
      </c>
      <c r="B50" s="114" t="s">
        <v>392</v>
      </c>
      <c r="C50" s="114" t="s">
        <v>393</v>
      </c>
      <c r="D50" s="113" t="s">
        <v>70</v>
      </c>
      <c r="F50" s="114">
        <v>0</v>
      </c>
      <c r="G50" s="114">
        <v>10</v>
      </c>
      <c r="H50" s="114">
        <v>0</v>
      </c>
      <c r="J50" s="114">
        <v>0</v>
      </c>
      <c r="K50" s="114">
        <v>49</v>
      </c>
      <c r="L50" s="114">
        <v>0</v>
      </c>
      <c r="N50" s="114">
        <v>0</v>
      </c>
      <c r="O50" s="114">
        <v>13</v>
      </c>
      <c r="P50" s="114">
        <v>0</v>
      </c>
      <c r="R50" s="114">
        <v>0</v>
      </c>
      <c r="S50" s="114">
        <v>11</v>
      </c>
      <c r="T50" s="114">
        <v>0</v>
      </c>
      <c r="V50" s="114">
        <v>0</v>
      </c>
      <c r="W50" s="114">
        <v>37</v>
      </c>
      <c r="X50" s="114">
        <v>0</v>
      </c>
      <c r="Z50" s="169">
        <v>0</v>
      </c>
      <c r="AA50" s="169">
        <v>33</v>
      </c>
      <c r="AB50" s="169">
        <v>4</v>
      </c>
      <c r="AC50" s="135">
        <v>3</v>
      </c>
      <c r="AD50" s="169">
        <v>26</v>
      </c>
      <c r="AE50" s="169">
        <v>0</v>
      </c>
      <c r="AF50" s="169">
        <f>VLOOKUP(B50,[4]PCS!$R$1:$U$65536,4,0)</f>
        <v>0</v>
      </c>
      <c r="AH50" s="169"/>
      <c r="AI50" s="169"/>
      <c r="AJ50" s="169"/>
      <c r="AL50" s="169"/>
      <c r="AM50" s="169"/>
      <c r="AN50" s="169"/>
      <c r="AP50" s="169"/>
      <c r="AQ50" s="169"/>
      <c r="AR50" s="169"/>
      <c r="AT50" s="169"/>
      <c r="AU50" s="169"/>
      <c r="AV50" s="169"/>
      <c r="AX50" s="169"/>
      <c r="AY50" s="169"/>
      <c r="AZ50" s="169"/>
    </row>
    <row r="51" spans="1:52" x14ac:dyDescent="0.25">
      <c r="A51" s="113">
        <v>49</v>
      </c>
      <c r="B51" s="114" t="s">
        <v>394</v>
      </c>
      <c r="C51" s="114" t="s">
        <v>395</v>
      </c>
      <c r="D51" s="113" t="s">
        <v>70</v>
      </c>
      <c r="F51" s="114">
        <v>0</v>
      </c>
      <c r="G51" s="114">
        <v>30</v>
      </c>
      <c r="H51" s="114">
        <v>0</v>
      </c>
      <c r="J51" s="114">
        <v>0</v>
      </c>
      <c r="K51" s="114">
        <v>8</v>
      </c>
      <c r="L51" s="114">
        <v>0</v>
      </c>
      <c r="N51" s="114">
        <v>0</v>
      </c>
      <c r="O51" s="114">
        <v>30</v>
      </c>
      <c r="P51" s="114">
        <v>0</v>
      </c>
      <c r="R51" s="114">
        <v>7</v>
      </c>
      <c r="S51" s="114">
        <v>7</v>
      </c>
      <c r="T51" s="114">
        <v>0</v>
      </c>
      <c r="V51" s="114">
        <v>0</v>
      </c>
      <c r="W51" s="114">
        <v>59</v>
      </c>
      <c r="X51" s="114">
        <v>0</v>
      </c>
      <c r="Z51" s="169">
        <v>22</v>
      </c>
      <c r="AA51" s="169">
        <v>0</v>
      </c>
      <c r="AB51" s="169">
        <v>2</v>
      </c>
      <c r="AC51" s="135">
        <v>3</v>
      </c>
      <c r="AD51" s="169">
        <v>43</v>
      </c>
      <c r="AE51" s="169">
        <v>0</v>
      </c>
      <c r="AF51" s="169">
        <f>VLOOKUP(B51,[4]PCS!$R$1:$U$65536,4,0)</f>
        <v>0</v>
      </c>
      <c r="AH51" s="169"/>
      <c r="AI51" s="169"/>
      <c r="AJ51" s="169"/>
      <c r="AL51" s="169"/>
      <c r="AM51" s="169"/>
      <c r="AN51" s="169"/>
      <c r="AP51" s="169"/>
      <c r="AQ51" s="169"/>
      <c r="AR51" s="169"/>
      <c r="AT51" s="169"/>
      <c r="AU51" s="169"/>
      <c r="AV51" s="169"/>
      <c r="AX51" s="169"/>
      <c r="AY51" s="169"/>
      <c r="AZ51" s="169"/>
    </row>
    <row r="52" spans="1:52" x14ac:dyDescent="0.25">
      <c r="A52" s="113">
        <v>50</v>
      </c>
      <c r="B52" s="125" t="s">
        <v>508</v>
      </c>
      <c r="C52" s="114" t="s">
        <v>507</v>
      </c>
      <c r="D52" s="113" t="s">
        <v>70</v>
      </c>
      <c r="F52" s="114"/>
      <c r="G52" s="114"/>
      <c r="H52" s="114"/>
      <c r="J52" s="114"/>
      <c r="K52" s="114"/>
      <c r="L52" s="114"/>
      <c r="N52" s="114">
        <v>0</v>
      </c>
      <c r="O52" s="114">
        <v>5</v>
      </c>
      <c r="P52" s="114">
        <v>0</v>
      </c>
      <c r="R52" s="114">
        <v>2</v>
      </c>
      <c r="S52" s="114">
        <v>10</v>
      </c>
      <c r="T52" s="114">
        <v>0</v>
      </c>
      <c r="V52" s="114">
        <v>14</v>
      </c>
      <c r="W52" s="114">
        <v>4</v>
      </c>
      <c r="X52" s="114">
        <v>0</v>
      </c>
      <c r="Z52" s="169"/>
      <c r="AA52" s="169"/>
      <c r="AB52" s="169"/>
      <c r="AC52" s="135">
        <v>3</v>
      </c>
      <c r="AD52" s="169"/>
      <c r="AE52" s="169"/>
      <c r="AF52" s="169"/>
      <c r="AH52" s="169"/>
      <c r="AI52" s="169"/>
      <c r="AJ52" s="169"/>
      <c r="AL52" s="169"/>
      <c r="AM52" s="169"/>
      <c r="AN52" s="169"/>
      <c r="AP52" s="169"/>
      <c r="AQ52" s="169"/>
      <c r="AR52" s="169"/>
      <c r="AT52" s="169"/>
      <c r="AU52" s="169"/>
      <c r="AV52" s="169"/>
      <c r="AX52" s="169"/>
      <c r="AY52" s="169"/>
      <c r="AZ52" s="169"/>
    </row>
    <row r="53" spans="1:52" x14ac:dyDescent="0.25">
      <c r="A53" s="113">
        <v>51</v>
      </c>
      <c r="B53" s="114"/>
      <c r="C53" s="114" t="s">
        <v>531</v>
      </c>
      <c r="D53" s="113" t="s">
        <v>70</v>
      </c>
      <c r="F53" s="115"/>
      <c r="G53" s="115"/>
      <c r="H53" s="115"/>
      <c r="J53" s="115"/>
      <c r="K53" s="115"/>
      <c r="L53" s="115"/>
      <c r="N53" s="115"/>
      <c r="O53" s="115"/>
      <c r="P53" s="115"/>
      <c r="R53" s="115">
        <v>0</v>
      </c>
      <c r="S53" s="115">
        <v>14</v>
      </c>
      <c r="T53" s="115">
        <v>0</v>
      </c>
      <c r="V53" s="115"/>
      <c r="W53" s="115"/>
      <c r="X53" s="115"/>
      <c r="Z53" s="169"/>
      <c r="AA53" s="169"/>
      <c r="AB53" s="169"/>
      <c r="AC53" s="135">
        <v>3</v>
      </c>
      <c r="AD53" s="169"/>
      <c r="AE53" s="169"/>
      <c r="AF53" s="169"/>
      <c r="AH53" s="169"/>
      <c r="AI53" s="169"/>
      <c r="AJ53" s="169"/>
      <c r="AL53" s="169"/>
      <c r="AM53" s="169"/>
      <c r="AN53" s="169"/>
      <c r="AP53" s="169"/>
      <c r="AQ53" s="169"/>
      <c r="AR53" s="169"/>
      <c r="AT53" s="169"/>
      <c r="AU53" s="169"/>
      <c r="AV53" s="169"/>
      <c r="AX53" s="169"/>
      <c r="AY53" s="169"/>
      <c r="AZ53" s="169"/>
    </row>
    <row r="54" spans="1:52" x14ac:dyDescent="0.25">
      <c r="A54" s="113">
        <v>52</v>
      </c>
      <c r="B54" s="114" t="s">
        <v>396</v>
      </c>
      <c r="C54" s="114" t="s">
        <v>397</v>
      </c>
      <c r="D54" s="113" t="s">
        <v>70</v>
      </c>
      <c r="F54" s="114">
        <v>4692</v>
      </c>
      <c r="G54" s="114">
        <v>228</v>
      </c>
      <c r="H54" s="114">
        <v>0</v>
      </c>
      <c r="J54" s="114">
        <v>4333</v>
      </c>
      <c r="K54" s="114">
        <v>279</v>
      </c>
      <c r="L54" s="114">
        <v>0</v>
      </c>
      <c r="N54" s="114">
        <v>5497</v>
      </c>
      <c r="O54" s="114">
        <v>242</v>
      </c>
      <c r="P54" s="114">
        <v>3</v>
      </c>
      <c r="R54" s="114">
        <v>2296</v>
      </c>
      <c r="S54" s="114">
        <v>165</v>
      </c>
      <c r="T54" s="114">
        <v>0</v>
      </c>
      <c r="V54" s="114">
        <v>4802</v>
      </c>
      <c r="W54" s="114">
        <v>1403</v>
      </c>
      <c r="X54" s="114">
        <v>21</v>
      </c>
      <c r="Z54" s="169">
        <v>6022</v>
      </c>
      <c r="AA54" s="169">
        <v>696</v>
      </c>
      <c r="AB54" s="169">
        <v>24</v>
      </c>
      <c r="AC54" s="135">
        <v>3</v>
      </c>
      <c r="AD54" s="169">
        <f>VLOOKUP(B54,[4]PCS!$R$1:$S$65536,2,0)</f>
        <v>5580</v>
      </c>
      <c r="AE54" s="169">
        <f>VLOOKUP(B54,[4]PCS!$R$1:$T$65536,3,0)</f>
        <v>306</v>
      </c>
      <c r="AF54" s="169">
        <f>VLOOKUP(B54,[4]PCS!$R$1:$U$65536,4,0)</f>
        <v>9</v>
      </c>
      <c r="AH54" s="169"/>
      <c r="AI54" s="169"/>
      <c r="AJ54" s="169"/>
      <c r="AL54" s="169"/>
      <c r="AM54" s="169"/>
      <c r="AN54" s="169"/>
      <c r="AP54" s="169"/>
      <c r="AQ54" s="169"/>
      <c r="AR54" s="169"/>
      <c r="AT54" s="169"/>
      <c r="AU54" s="169"/>
      <c r="AV54" s="169"/>
      <c r="AX54" s="169"/>
      <c r="AY54" s="169"/>
      <c r="AZ54" s="169"/>
    </row>
    <row r="55" spans="1:52" s="54" customFormat="1" x14ac:dyDescent="0.25">
      <c r="A55" s="113">
        <v>53</v>
      </c>
      <c r="B55" s="114" t="s">
        <v>398</v>
      </c>
      <c r="C55" s="114" t="s">
        <v>399</v>
      </c>
      <c r="D55" s="113" t="s">
        <v>70</v>
      </c>
      <c r="E55" s="171"/>
      <c r="F55" s="114">
        <v>4049</v>
      </c>
      <c r="G55" s="114">
        <v>420</v>
      </c>
      <c r="H55" s="114">
        <v>5</v>
      </c>
      <c r="I55" s="171"/>
      <c r="J55" s="114">
        <v>4331</v>
      </c>
      <c r="K55" s="114">
        <v>109</v>
      </c>
      <c r="L55" s="114">
        <v>0</v>
      </c>
      <c r="M55" s="171"/>
      <c r="N55" s="114">
        <v>5083</v>
      </c>
      <c r="O55" s="114">
        <v>355</v>
      </c>
      <c r="P55" s="114">
        <v>3</v>
      </c>
      <c r="Q55" s="171"/>
      <c r="R55" s="114">
        <v>2062</v>
      </c>
      <c r="S55" s="114">
        <v>230</v>
      </c>
      <c r="T55" s="114">
        <v>0</v>
      </c>
      <c r="U55" s="172"/>
      <c r="V55" s="114">
        <v>5808</v>
      </c>
      <c r="W55" s="114">
        <v>388</v>
      </c>
      <c r="X55" s="114">
        <v>7</v>
      </c>
      <c r="Y55" s="135"/>
      <c r="Z55" s="169">
        <v>5237</v>
      </c>
      <c r="AA55" s="169">
        <v>1145</v>
      </c>
      <c r="AB55" s="169">
        <v>26</v>
      </c>
      <c r="AC55" s="135">
        <v>3</v>
      </c>
      <c r="AD55" s="169">
        <f>VLOOKUP(B55,[4]PCS!$R$1:$S$65536,2,0)</f>
        <v>4859</v>
      </c>
      <c r="AE55" s="169">
        <f>VLOOKUP(B55,[4]PCS!$R$1:$T$65536,3,0)</f>
        <v>663</v>
      </c>
      <c r="AF55" s="169">
        <f>VLOOKUP(B55,[4]PCS!$R$1:$U$65536,4,0)</f>
        <v>1</v>
      </c>
      <c r="AH55" s="169"/>
      <c r="AI55" s="169"/>
      <c r="AJ55" s="169"/>
      <c r="AL55" s="169"/>
      <c r="AM55" s="169"/>
      <c r="AN55" s="169"/>
      <c r="AP55" s="169"/>
      <c r="AQ55" s="169"/>
      <c r="AR55" s="169"/>
      <c r="AT55" s="169"/>
      <c r="AU55" s="169"/>
      <c r="AV55" s="169"/>
      <c r="AX55" s="169"/>
      <c r="AY55" s="169"/>
      <c r="AZ55" s="169"/>
    </row>
    <row r="56" spans="1:52" s="54" customFormat="1" x14ac:dyDescent="0.25">
      <c r="A56" s="113">
        <v>54</v>
      </c>
      <c r="B56" s="129" t="s">
        <v>548</v>
      </c>
      <c r="C56" s="128" t="s">
        <v>549</v>
      </c>
      <c r="D56" s="113" t="s">
        <v>70</v>
      </c>
      <c r="E56" s="127"/>
      <c r="F56" s="130"/>
      <c r="G56" s="130"/>
      <c r="H56" s="130"/>
      <c r="I56" s="127"/>
      <c r="J56" s="130"/>
      <c r="K56" s="130"/>
      <c r="L56" s="130"/>
      <c r="M56" s="127"/>
      <c r="N56" s="130"/>
      <c r="O56" s="130"/>
      <c r="P56" s="130"/>
      <c r="Q56" s="127"/>
      <c r="R56" s="130"/>
      <c r="S56" s="130"/>
      <c r="T56" s="130"/>
      <c r="U56" s="138"/>
      <c r="V56" s="130">
        <v>0</v>
      </c>
      <c r="W56" s="130">
        <v>130</v>
      </c>
      <c r="X56" s="130">
        <v>0</v>
      </c>
      <c r="Z56" s="169">
        <v>0</v>
      </c>
      <c r="AA56" s="169">
        <v>493</v>
      </c>
      <c r="AB56" s="169">
        <v>0</v>
      </c>
      <c r="AC56" s="135">
        <v>3</v>
      </c>
      <c r="AD56" s="169">
        <v>1993</v>
      </c>
      <c r="AE56" s="169">
        <v>0</v>
      </c>
      <c r="AF56" s="169">
        <f>VLOOKUP(B56,[4]PCS!$R$1:$U$65536,4,0)</f>
        <v>0</v>
      </c>
      <c r="AH56" s="169"/>
      <c r="AI56" s="169"/>
      <c r="AJ56" s="169"/>
      <c r="AL56" s="169"/>
      <c r="AM56" s="169"/>
      <c r="AN56" s="169"/>
      <c r="AP56" s="169"/>
      <c r="AQ56" s="169"/>
      <c r="AR56" s="169"/>
      <c r="AT56" s="169"/>
      <c r="AU56" s="169"/>
      <c r="AV56" s="169"/>
      <c r="AX56" s="169"/>
      <c r="AY56" s="169"/>
      <c r="AZ56" s="169"/>
    </row>
    <row r="57" spans="1:52" s="54" customFormat="1" x14ac:dyDescent="0.25">
      <c r="A57" s="113">
        <v>55</v>
      </c>
      <c r="B57" s="129" t="s">
        <v>550</v>
      </c>
      <c r="C57" s="128" t="s">
        <v>551</v>
      </c>
      <c r="D57" s="113" t="s">
        <v>70</v>
      </c>
      <c r="E57" s="127"/>
      <c r="F57" s="130"/>
      <c r="G57" s="130"/>
      <c r="H57" s="130"/>
      <c r="I57" s="127"/>
      <c r="J57" s="130"/>
      <c r="K57" s="130"/>
      <c r="L57" s="130"/>
      <c r="M57" s="127"/>
      <c r="N57" s="130"/>
      <c r="O57" s="130"/>
      <c r="P57" s="130"/>
      <c r="Q57" s="127"/>
      <c r="R57" s="130"/>
      <c r="S57" s="130"/>
      <c r="T57" s="130"/>
      <c r="U57" s="138"/>
      <c r="V57" s="130">
        <v>0</v>
      </c>
      <c r="W57" s="130">
        <v>130</v>
      </c>
      <c r="X57" s="130">
        <v>0</v>
      </c>
      <c r="Z57" s="169">
        <v>0</v>
      </c>
      <c r="AA57" s="169">
        <v>469</v>
      </c>
      <c r="AB57" s="169">
        <v>1</v>
      </c>
      <c r="AC57" s="135">
        <v>3</v>
      </c>
      <c r="AD57" s="169">
        <v>2021</v>
      </c>
      <c r="AE57" s="169">
        <v>0</v>
      </c>
      <c r="AF57" s="169">
        <f>VLOOKUP(B57,[4]PCS!$R$1:$U$65536,4,0)</f>
        <v>4</v>
      </c>
      <c r="AH57" s="169"/>
      <c r="AI57" s="169"/>
      <c r="AJ57" s="169"/>
      <c r="AL57" s="169"/>
      <c r="AM57" s="169"/>
      <c r="AN57" s="169"/>
      <c r="AP57" s="169"/>
      <c r="AQ57" s="169"/>
      <c r="AR57" s="169"/>
      <c r="AT57" s="169"/>
      <c r="AU57" s="169"/>
      <c r="AV57" s="169"/>
      <c r="AX57" s="169"/>
      <c r="AY57" s="169"/>
      <c r="AZ57" s="169"/>
    </row>
    <row r="58" spans="1:52" x14ac:dyDescent="0.25">
      <c r="A58" s="113">
        <v>56</v>
      </c>
      <c r="B58" s="114" t="s">
        <v>400</v>
      </c>
      <c r="C58" s="114" t="s">
        <v>401</v>
      </c>
      <c r="D58" s="113" t="s">
        <v>70</v>
      </c>
      <c r="F58" s="114">
        <v>185</v>
      </c>
      <c r="G58" s="114">
        <v>15</v>
      </c>
      <c r="H58" s="114">
        <v>0</v>
      </c>
      <c r="J58" s="114">
        <v>178</v>
      </c>
      <c r="K58" s="114">
        <v>22</v>
      </c>
      <c r="L58" s="114">
        <v>2</v>
      </c>
      <c r="N58" s="114">
        <v>195</v>
      </c>
      <c r="O58" s="114">
        <v>5</v>
      </c>
      <c r="P58" s="114">
        <v>0</v>
      </c>
      <c r="R58" s="114">
        <v>80</v>
      </c>
      <c r="S58" s="114">
        <v>0</v>
      </c>
      <c r="T58" s="114">
        <v>0</v>
      </c>
      <c r="V58" s="114">
        <v>236</v>
      </c>
      <c r="W58" s="114">
        <v>44</v>
      </c>
      <c r="X58" s="114">
        <v>0</v>
      </c>
      <c r="Z58" s="169">
        <v>268</v>
      </c>
      <c r="AA58" s="169">
        <v>52</v>
      </c>
      <c r="AB58" s="169">
        <v>0</v>
      </c>
      <c r="AD58" s="169">
        <f>VLOOKUP(B58,[4]PCS!$R$1:$S$65536,2,0)</f>
        <v>276</v>
      </c>
      <c r="AE58" s="169">
        <f>VLOOKUP(B58,[4]PCS!$R$1:$T$65536,3,0)</f>
        <v>4</v>
      </c>
      <c r="AF58" s="169">
        <f>VLOOKUP(B58,[4]PCS!$R$1:$U$65536,4,0)</f>
        <v>0</v>
      </c>
      <c r="AH58" s="169"/>
      <c r="AI58" s="169"/>
      <c r="AJ58" s="169"/>
      <c r="AL58" s="169"/>
      <c r="AM58" s="169"/>
      <c r="AN58" s="169"/>
      <c r="AP58" s="169"/>
      <c r="AQ58" s="169"/>
      <c r="AR58" s="169"/>
      <c r="AT58" s="169"/>
      <c r="AU58" s="169"/>
      <c r="AV58" s="169"/>
      <c r="AX58" s="169"/>
      <c r="AY58" s="169"/>
      <c r="AZ58" s="169"/>
    </row>
    <row r="59" spans="1:52" x14ac:dyDescent="0.25">
      <c r="A59" s="113">
        <v>57</v>
      </c>
      <c r="B59" s="114" t="s">
        <v>402</v>
      </c>
      <c r="C59" s="114" t="s">
        <v>403</v>
      </c>
      <c r="D59" s="113" t="s">
        <v>70</v>
      </c>
      <c r="F59" s="114">
        <v>200</v>
      </c>
      <c r="G59" s="114">
        <v>0</v>
      </c>
      <c r="H59" s="114">
        <v>0</v>
      </c>
      <c r="J59" s="114">
        <v>196</v>
      </c>
      <c r="K59" s="114">
        <v>4</v>
      </c>
      <c r="L59" s="114">
        <v>0</v>
      </c>
      <c r="N59" s="114">
        <v>198</v>
      </c>
      <c r="O59" s="114">
        <v>2</v>
      </c>
      <c r="P59" s="114">
        <v>0</v>
      </c>
      <c r="R59" s="114">
        <v>120</v>
      </c>
      <c r="S59" s="114">
        <v>0</v>
      </c>
      <c r="T59" s="114">
        <v>0</v>
      </c>
      <c r="V59" s="114">
        <v>280</v>
      </c>
      <c r="W59" s="114">
        <v>0</v>
      </c>
      <c r="X59" s="114">
        <v>0</v>
      </c>
      <c r="Z59" s="169">
        <v>277</v>
      </c>
      <c r="AA59" s="169">
        <v>3</v>
      </c>
      <c r="AB59" s="169">
        <v>0</v>
      </c>
      <c r="AD59" s="169">
        <f>VLOOKUP(B59,[4]PCS!$R$1:$S$65536,2,0)</f>
        <v>315</v>
      </c>
      <c r="AE59" s="169">
        <f>VLOOKUP(B59,[4]PCS!$R$1:$T$65536,3,0)</f>
        <v>45</v>
      </c>
      <c r="AF59" s="169">
        <f>VLOOKUP(B59,[4]PCS!$R$1:$U$65536,4,0)</f>
        <v>0</v>
      </c>
      <c r="AH59" s="169"/>
      <c r="AI59" s="169"/>
      <c r="AJ59" s="169"/>
      <c r="AL59" s="169"/>
      <c r="AM59" s="169"/>
      <c r="AN59" s="169"/>
      <c r="AP59" s="169"/>
      <c r="AQ59" s="169"/>
      <c r="AR59" s="169"/>
      <c r="AT59" s="169"/>
      <c r="AU59" s="169"/>
      <c r="AV59" s="169"/>
      <c r="AX59" s="169"/>
      <c r="AY59" s="169"/>
      <c r="AZ59" s="169"/>
    </row>
    <row r="60" spans="1:52" x14ac:dyDescent="0.25">
      <c r="A60" s="113">
        <v>58</v>
      </c>
      <c r="B60" s="114" t="s">
        <v>404</v>
      </c>
      <c r="C60" s="114" t="s">
        <v>405</v>
      </c>
      <c r="D60" s="113" t="s">
        <v>70</v>
      </c>
      <c r="F60" s="114">
        <v>0</v>
      </c>
      <c r="G60" s="114">
        <v>625</v>
      </c>
      <c r="H60" s="114">
        <v>18</v>
      </c>
      <c r="J60" s="114">
        <v>0</v>
      </c>
      <c r="K60" s="114">
        <v>138</v>
      </c>
      <c r="L60" s="114">
        <v>0</v>
      </c>
      <c r="N60" s="114">
        <v>0</v>
      </c>
      <c r="O60" s="114">
        <v>200</v>
      </c>
      <c r="P60" s="114">
        <v>0</v>
      </c>
      <c r="R60" s="114">
        <v>0</v>
      </c>
      <c r="S60" s="114">
        <v>177</v>
      </c>
      <c r="T60" s="114">
        <v>0</v>
      </c>
      <c r="V60" s="114">
        <v>0</v>
      </c>
      <c r="W60" s="114">
        <v>240</v>
      </c>
      <c r="X60" s="114">
        <v>0</v>
      </c>
      <c r="Z60" s="169">
        <v>0</v>
      </c>
      <c r="AA60" s="169">
        <v>282</v>
      </c>
      <c r="AB60" s="169">
        <v>0</v>
      </c>
      <c r="AD60" s="169">
        <v>320</v>
      </c>
      <c r="AE60" s="169">
        <v>80</v>
      </c>
      <c r="AF60" s="169">
        <f>VLOOKUP(B60,[4]PCS!$R$1:$U$65536,4,0)</f>
        <v>2</v>
      </c>
      <c r="AH60" s="169"/>
      <c r="AI60" s="169"/>
      <c r="AJ60" s="169"/>
      <c r="AL60" s="169"/>
      <c r="AM60" s="169"/>
      <c r="AN60" s="169"/>
      <c r="AP60" s="169"/>
      <c r="AQ60" s="169"/>
      <c r="AR60" s="169"/>
      <c r="AT60" s="169"/>
      <c r="AU60" s="169"/>
      <c r="AV60" s="169"/>
      <c r="AX60" s="169"/>
      <c r="AY60" s="169"/>
      <c r="AZ60" s="169"/>
    </row>
    <row r="61" spans="1:52" x14ac:dyDescent="0.25">
      <c r="A61" s="113">
        <v>59</v>
      </c>
      <c r="B61" s="114" t="s">
        <v>406</v>
      </c>
      <c r="C61" s="114" t="s">
        <v>407</v>
      </c>
      <c r="D61" s="113" t="s">
        <v>70</v>
      </c>
      <c r="F61" s="114">
        <v>8271</v>
      </c>
      <c r="G61" s="114">
        <v>0</v>
      </c>
      <c r="H61" s="114">
        <v>20</v>
      </c>
      <c r="J61" s="114">
        <v>5200</v>
      </c>
      <c r="K61" s="114">
        <v>0</v>
      </c>
      <c r="L61" s="114">
        <v>1</v>
      </c>
      <c r="N61" s="114">
        <v>5100</v>
      </c>
      <c r="O61" s="114">
        <v>0</v>
      </c>
      <c r="P61" s="114">
        <v>4</v>
      </c>
      <c r="R61" s="114">
        <v>3850</v>
      </c>
      <c r="S61" s="114">
        <v>0</v>
      </c>
      <c r="T61" s="114">
        <v>19</v>
      </c>
      <c r="V61" s="114">
        <v>4422</v>
      </c>
      <c r="W61" s="114">
        <v>0</v>
      </c>
      <c r="X61" s="114">
        <v>5</v>
      </c>
      <c r="Z61" s="169">
        <v>3111</v>
      </c>
      <c r="AA61" s="169">
        <v>6</v>
      </c>
      <c r="AB61" s="169">
        <v>13</v>
      </c>
      <c r="AD61" s="169">
        <v>4903</v>
      </c>
      <c r="AE61" s="169">
        <v>0</v>
      </c>
      <c r="AF61" s="169">
        <f>VLOOKUP(B61,[4]PCS!$R$1:$U$65536,4,0)</f>
        <v>0</v>
      </c>
      <c r="AH61" s="169"/>
      <c r="AI61" s="169"/>
      <c r="AJ61" s="169"/>
      <c r="AL61" s="169"/>
      <c r="AM61" s="169"/>
      <c r="AN61" s="169"/>
      <c r="AP61" s="169"/>
      <c r="AQ61" s="169"/>
      <c r="AR61" s="169"/>
      <c r="AT61" s="169"/>
      <c r="AU61" s="169"/>
      <c r="AV61" s="169"/>
      <c r="AX61" s="169"/>
      <c r="AY61" s="169"/>
      <c r="AZ61" s="169"/>
    </row>
    <row r="62" spans="1:52" x14ac:dyDescent="0.25">
      <c r="A62" s="113">
        <v>60</v>
      </c>
      <c r="B62" s="114" t="s">
        <v>408</v>
      </c>
      <c r="C62" s="114" t="s">
        <v>409</v>
      </c>
      <c r="D62" s="113" t="s">
        <v>70</v>
      </c>
      <c r="F62" s="115"/>
      <c r="G62" s="115"/>
      <c r="H62" s="115"/>
      <c r="J62" s="115">
        <v>0</v>
      </c>
      <c r="K62" s="115">
        <v>20</v>
      </c>
      <c r="L62" s="115">
        <v>0</v>
      </c>
      <c r="N62" s="115"/>
      <c r="O62" s="115"/>
      <c r="P62" s="115"/>
      <c r="R62" s="115"/>
      <c r="S62" s="115"/>
      <c r="T62" s="115"/>
      <c r="V62" s="115"/>
      <c r="W62" s="115"/>
      <c r="X62" s="115"/>
      <c r="Z62" s="169"/>
      <c r="AA62" s="169"/>
      <c r="AB62" s="169"/>
      <c r="AD62" s="169"/>
      <c r="AE62" s="169"/>
      <c r="AF62" s="169"/>
      <c r="AH62" s="169"/>
      <c r="AI62" s="169"/>
      <c r="AJ62" s="169"/>
      <c r="AL62" s="169"/>
      <c r="AM62" s="169"/>
      <c r="AN62" s="169"/>
      <c r="AP62" s="169"/>
      <c r="AQ62" s="169"/>
      <c r="AR62" s="169"/>
      <c r="AT62" s="169"/>
      <c r="AU62" s="169"/>
      <c r="AV62" s="169"/>
      <c r="AX62" s="169"/>
      <c r="AY62" s="169"/>
      <c r="AZ62" s="169"/>
    </row>
    <row r="63" spans="1:52" x14ac:dyDescent="0.25">
      <c r="A63" s="113">
        <v>61</v>
      </c>
      <c r="B63" s="125" t="s">
        <v>512</v>
      </c>
      <c r="C63" s="114" t="s">
        <v>511</v>
      </c>
      <c r="D63" s="113" t="s">
        <v>70</v>
      </c>
      <c r="F63" s="115"/>
      <c r="G63" s="115"/>
      <c r="H63" s="115"/>
      <c r="J63" s="115"/>
      <c r="K63" s="115"/>
      <c r="L63" s="115"/>
      <c r="N63" s="115">
        <v>0</v>
      </c>
      <c r="O63" s="115">
        <v>20</v>
      </c>
      <c r="P63" s="115">
        <v>0</v>
      </c>
      <c r="R63" s="115"/>
      <c r="S63" s="115"/>
      <c r="T63" s="115"/>
      <c r="V63" s="115"/>
      <c r="W63" s="115"/>
      <c r="X63" s="115"/>
      <c r="Z63" s="169"/>
      <c r="AA63" s="169"/>
      <c r="AB63" s="169"/>
      <c r="AD63" s="169"/>
      <c r="AE63" s="169"/>
      <c r="AF63" s="169"/>
      <c r="AH63" s="169"/>
      <c r="AI63" s="169"/>
      <c r="AJ63" s="169"/>
      <c r="AL63" s="169"/>
      <c r="AM63" s="169"/>
      <c r="AN63" s="169"/>
      <c r="AP63" s="169"/>
      <c r="AQ63" s="169"/>
      <c r="AR63" s="169"/>
      <c r="AT63" s="169"/>
      <c r="AU63" s="169"/>
      <c r="AV63" s="169"/>
      <c r="AX63" s="169"/>
      <c r="AY63" s="169"/>
      <c r="AZ63" s="169"/>
    </row>
    <row r="64" spans="1:52" x14ac:dyDescent="0.25">
      <c r="A64" s="113">
        <v>62</v>
      </c>
      <c r="B64" s="114" t="s">
        <v>410</v>
      </c>
      <c r="C64" s="114" t="s">
        <v>411</v>
      </c>
      <c r="D64" s="113" t="s">
        <v>70</v>
      </c>
      <c r="F64" s="115">
        <v>450</v>
      </c>
      <c r="G64" s="115">
        <v>0</v>
      </c>
      <c r="H64" s="115">
        <v>0</v>
      </c>
      <c r="J64" s="115">
        <v>70</v>
      </c>
      <c r="K64" s="115">
        <v>0</v>
      </c>
      <c r="L64" s="115">
        <v>1</v>
      </c>
      <c r="N64" s="115">
        <v>100</v>
      </c>
      <c r="O64" s="115">
        <v>0</v>
      </c>
      <c r="P64" s="115">
        <v>0</v>
      </c>
      <c r="R64" s="115">
        <v>150</v>
      </c>
      <c r="S64" s="115">
        <v>0</v>
      </c>
      <c r="T64" s="115">
        <v>0</v>
      </c>
      <c r="V64" s="115"/>
      <c r="W64" s="115"/>
      <c r="X64" s="115"/>
      <c r="Z64" s="169"/>
      <c r="AA64" s="169"/>
      <c r="AB64" s="169"/>
      <c r="AC64" s="135">
        <v>3</v>
      </c>
      <c r="AD64" s="169">
        <f>VLOOKUP(B64,[4]PCS!$R$1:$S$65536,2,0)</f>
        <v>150</v>
      </c>
      <c r="AE64" s="169">
        <f>VLOOKUP(B64,[4]PCS!$R$1:$T$65536,3,0)</f>
        <v>0</v>
      </c>
      <c r="AF64" s="169">
        <f>VLOOKUP(B64,[4]PCS!$R$1:$U$65536,4,0)</f>
        <v>0</v>
      </c>
      <c r="AH64" s="169"/>
      <c r="AI64" s="169"/>
      <c r="AJ64" s="169"/>
      <c r="AL64" s="169"/>
      <c r="AM64" s="169"/>
      <c r="AN64" s="169"/>
      <c r="AP64" s="169"/>
      <c r="AQ64" s="169"/>
      <c r="AR64" s="169"/>
      <c r="AT64" s="169"/>
      <c r="AU64" s="169"/>
      <c r="AV64" s="169"/>
      <c r="AX64" s="169"/>
      <c r="AY64" s="169"/>
      <c r="AZ64" s="169"/>
    </row>
    <row r="65" spans="1:256" x14ac:dyDescent="0.25">
      <c r="A65" s="113">
        <v>63</v>
      </c>
      <c r="B65" s="114" t="s">
        <v>412</v>
      </c>
      <c r="C65" s="114" t="s">
        <v>413</v>
      </c>
      <c r="D65" s="113" t="s">
        <v>70</v>
      </c>
      <c r="F65" s="115">
        <v>80</v>
      </c>
      <c r="G65" s="115">
        <v>0</v>
      </c>
      <c r="H65" s="115">
        <v>0</v>
      </c>
      <c r="J65" s="115"/>
      <c r="K65" s="115"/>
      <c r="L65" s="115"/>
      <c r="N65" s="115"/>
      <c r="O65" s="115"/>
      <c r="P65" s="115"/>
      <c r="R65" s="115"/>
      <c r="S65" s="115"/>
      <c r="T65" s="115"/>
      <c r="V65" s="115"/>
      <c r="W65" s="115"/>
      <c r="X65" s="115"/>
      <c r="Z65" s="169"/>
      <c r="AA65" s="169"/>
      <c r="AB65" s="169"/>
      <c r="AC65" s="135">
        <v>3</v>
      </c>
      <c r="AD65" s="169"/>
      <c r="AE65" s="169"/>
      <c r="AF65" s="169"/>
      <c r="AH65" s="169"/>
      <c r="AI65" s="169"/>
      <c r="AJ65" s="169"/>
      <c r="AL65" s="169"/>
      <c r="AM65" s="169"/>
      <c r="AN65" s="169"/>
      <c r="AP65" s="169"/>
      <c r="AQ65" s="169"/>
      <c r="AR65" s="169"/>
      <c r="AT65" s="169"/>
      <c r="AU65" s="169"/>
      <c r="AV65" s="169"/>
      <c r="AX65" s="169"/>
      <c r="AY65" s="169"/>
      <c r="AZ65" s="169"/>
    </row>
    <row r="66" spans="1:256" x14ac:dyDescent="0.25">
      <c r="A66" s="113">
        <v>64</v>
      </c>
      <c r="B66" s="114" t="s">
        <v>645</v>
      </c>
      <c r="C66" s="114" t="s">
        <v>646</v>
      </c>
      <c r="D66" s="113" t="s">
        <v>70</v>
      </c>
      <c r="F66" s="115"/>
      <c r="G66" s="115"/>
      <c r="H66" s="115"/>
      <c r="J66" s="115"/>
      <c r="K66" s="115"/>
      <c r="L66" s="115"/>
      <c r="N66" s="115"/>
      <c r="O66" s="115"/>
      <c r="P66" s="115"/>
      <c r="R66" s="115"/>
      <c r="S66" s="115"/>
      <c r="T66" s="115"/>
      <c r="V66" s="115"/>
      <c r="W66" s="115"/>
      <c r="X66" s="115"/>
      <c r="Z66" s="169"/>
      <c r="AA66" s="169"/>
      <c r="AB66" s="169"/>
      <c r="AD66" s="169">
        <f>VLOOKUP(B66,[4]PCS!$R$1:$S$65536,2,0)</f>
        <v>0</v>
      </c>
      <c r="AE66" s="169">
        <f>VLOOKUP(B66,[4]PCS!$R$1:$T$65536,3,0)</f>
        <v>0</v>
      </c>
      <c r="AF66" s="169">
        <f>VLOOKUP(B66,[4]PCS!$R$1:$U$65536,4,0)</f>
        <v>1</v>
      </c>
      <c r="AH66" s="169"/>
      <c r="AI66" s="169"/>
      <c r="AJ66" s="169"/>
      <c r="AL66" s="169"/>
      <c r="AM66" s="169"/>
      <c r="AN66" s="169"/>
      <c r="AP66" s="169"/>
      <c r="AQ66" s="169"/>
      <c r="AR66" s="169"/>
      <c r="AT66" s="169"/>
      <c r="AU66" s="169"/>
      <c r="AV66" s="169"/>
      <c r="AX66" s="169"/>
      <c r="AY66" s="169"/>
      <c r="AZ66" s="169"/>
    </row>
    <row r="67" spans="1:256" x14ac:dyDescent="0.25">
      <c r="A67" s="124"/>
      <c r="B67" s="124"/>
      <c r="C67" s="133" t="s">
        <v>568</v>
      </c>
      <c r="D67" s="116" t="s">
        <v>59</v>
      </c>
      <c r="F67" s="116">
        <f>SUM(F5:F64)</f>
        <v>30426</v>
      </c>
      <c r="G67" s="116">
        <f>SUM(G5:G64)</f>
        <v>2465</v>
      </c>
      <c r="H67" s="116">
        <f>SUM(H5:H64)</f>
        <v>65</v>
      </c>
      <c r="J67" s="116">
        <f>SUM(J5:J64)</f>
        <v>26732</v>
      </c>
      <c r="K67" s="116">
        <f>SUM(K5:K64)</f>
        <v>1322</v>
      </c>
      <c r="L67" s="116">
        <f>SUM(L5:L64)</f>
        <v>43</v>
      </c>
      <c r="N67" s="116">
        <f>SUM(N5:N64)</f>
        <v>32301</v>
      </c>
      <c r="O67" s="116">
        <f>SUM(O5:O64)</f>
        <v>1757</v>
      </c>
      <c r="P67" s="116">
        <f>SUM(P5:P64)</f>
        <v>43</v>
      </c>
      <c r="R67" s="116">
        <f>SUM(R5:R64)</f>
        <v>12608</v>
      </c>
      <c r="S67" s="116">
        <f>SUM(S5:S64)</f>
        <v>1478</v>
      </c>
      <c r="T67" s="116">
        <f>SUM(T5:T64)</f>
        <v>21</v>
      </c>
      <c r="V67" s="116">
        <f>SUM(V5:V65)</f>
        <v>28853</v>
      </c>
      <c r="W67" s="116">
        <f>SUM(W5:W64)</f>
        <v>3105</v>
      </c>
      <c r="X67" s="116">
        <f>SUM(X5:X64)</f>
        <v>74</v>
      </c>
      <c r="Z67" s="116">
        <f>SUM(Z5:Z65)</f>
        <v>38113</v>
      </c>
      <c r="AA67" s="116">
        <f>SUM(AA5:AA64)</f>
        <v>3768</v>
      </c>
      <c r="AB67" s="116">
        <f>SUM(AB5:AB64)</f>
        <v>93</v>
      </c>
      <c r="AD67" s="116">
        <f>SUM(AD5:AD66)</f>
        <v>41551</v>
      </c>
      <c r="AE67" s="116">
        <f>SUM(AE5:AE66)</f>
        <v>1098</v>
      </c>
      <c r="AF67" s="116">
        <f>SUM(AF5:AF66)</f>
        <v>23</v>
      </c>
      <c r="AH67" s="116">
        <f>SUM(AH5:AH66)</f>
        <v>0</v>
      </c>
      <c r="AI67" s="116">
        <f>SUM(AI5:AI66)</f>
        <v>0</v>
      </c>
      <c r="AJ67" s="116">
        <f>SUM(AJ5:AJ66)</f>
        <v>0</v>
      </c>
      <c r="AL67" s="116">
        <f>SUM(AL5:AL66)</f>
        <v>0</v>
      </c>
      <c r="AM67" s="116">
        <f>SUM(AM5:AM66)</f>
        <v>0</v>
      </c>
      <c r="AN67" s="116">
        <f>SUM(AN5:AN66)</f>
        <v>0</v>
      </c>
      <c r="AP67" s="116">
        <f>SUM(AP5:AP66)</f>
        <v>0</v>
      </c>
      <c r="AQ67" s="116">
        <f>SUM(AQ5:AQ66)</f>
        <v>0</v>
      </c>
      <c r="AR67" s="116">
        <f>SUM(AR5:AR66)</f>
        <v>0</v>
      </c>
      <c r="AT67" s="116">
        <f>SUM(AT5:AT66)</f>
        <v>0</v>
      </c>
      <c r="AU67" s="116">
        <f>SUM(AU5:AU66)</f>
        <v>0</v>
      </c>
      <c r="AV67" s="116">
        <f>SUM(AV5:AV66)</f>
        <v>0</v>
      </c>
      <c r="AX67" s="116">
        <f>SUM(AX5:AX66)</f>
        <v>0</v>
      </c>
      <c r="AY67" s="116">
        <f>SUM(AY5:AY66)</f>
        <v>0</v>
      </c>
      <c r="AZ67" s="116">
        <f>SUM(AZ5:AZ66)</f>
        <v>0</v>
      </c>
    </row>
    <row r="68" spans="1:256" x14ac:dyDescent="0.25">
      <c r="A68" s="124"/>
      <c r="B68" s="124"/>
      <c r="C68" s="133" t="s">
        <v>64</v>
      </c>
      <c r="D68" s="117" t="s">
        <v>181</v>
      </c>
      <c r="F68" s="118">
        <f>F67/(F67+G67+H67)</f>
        <v>0.92323097463284376</v>
      </c>
      <c r="G68" s="118">
        <f>G67/(F67+G67+H67)</f>
        <v>7.4796698628474323E-2</v>
      </c>
      <c r="H68" s="118">
        <f>H67/(F67+G67+H67)</f>
        <v>1.9723267386818791E-3</v>
      </c>
      <c r="J68" s="118">
        <f>J67/(J67+K67+L67)</f>
        <v>0.9514183008862156</v>
      </c>
      <c r="K68" s="118">
        <f>K67/(J67+K67+L67)</f>
        <v>4.7051286614229276E-2</v>
      </c>
      <c r="L68" s="118">
        <f>L67/(J67+K67+L67)</f>
        <v>1.5304124995551126E-3</v>
      </c>
      <c r="N68" s="118">
        <f>N67/(N67+O67+P67)</f>
        <v>0.94721562417524408</v>
      </c>
      <c r="O68" s="118">
        <f>O67/(N67+O67+P67)</f>
        <v>5.1523415735608924E-2</v>
      </c>
      <c r="P68" s="118">
        <f>P67/(N67+O67+P67)</f>
        <v>1.2609600891469459E-3</v>
      </c>
      <c r="R68" s="118">
        <f>R67/(R67+S67+T67)</f>
        <v>0.89374069610831497</v>
      </c>
      <c r="S68" s="118">
        <f>S67/(R67+S67+T67)</f>
        <v>0.10477068122208832</v>
      </c>
      <c r="T68" s="118">
        <f>T67/(R67+S67+T67)</f>
        <v>1.4886226695966542E-3</v>
      </c>
      <c r="V68" s="118">
        <f>V67/(V67+W67+X67)</f>
        <v>0.90075549450549453</v>
      </c>
      <c r="W68" s="118">
        <f>W67/(V67+W67+X67)</f>
        <v>9.6934315684315681E-2</v>
      </c>
      <c r="X68" s="118">
        <f>X67/(V67+W67+X67)</f>
        <v>2.31018981018981E-3</v>
      </c>
      <c r="Z68" s="118">
        <f>Z67/(Z67+AA67+AB67)</f>
        <v>0.9080144851574784</v>
      </c>
      <c r="AA68" s="118">
        <f>AA67/(Z67+AA67+AB67)</f>
        <v>8.9769857530852426E-2</v>
      </c>
      <c r="AB68" s="118">
        <f>AB67/(Z67+AA67+AB67)</f>
        <v>2.2156573116691287E-3</v>
      </c>
      <c r="AD68" s="118">
        <f>AD67/(AD67+AE67+AF67)</f>
        <v>0.97372984626921633</v>
      </c>
      <c r="AE68" s="118">
        <f>AE67/(AD67+AE67+AF67)</f>
        <v>2.5731158605174352E-2</v>
      </c>
      <c r="AF68" s="118">
        <f>AF67/(AD67+AE67+AF67)</f>
        <v>5.389951256092988E-4</v>
      </c>
      <c r="AH68" s="118" t="e">
        <f>AH67/(AH67+AI67+AJ67)</f>
        <v>#DIV/0!</v>
      </c>
      <c r="AI68" s="118" t="e">
        <f>AI67/(AH67+AI67+AJ67)</f>
        <v>#DIV/0!</v>
      </c>
      <c r="AJ68" s="118" t="e">
        <f>AJ67/(AH67+AI67+AJ67)</f>
        <v>#DIV/0!</v>
      </c>
      <c r="AL68" s="118" t="e">
        <f>AL67/(AL67+AM67+AN67)</f>
        <v>#DIV/0!</v>
      </c>
      <c r="AM68" s="118" t="e">
        <f>AM67/(AL67+AM67+AN67)</f>
        <v>#DIV/0!</v>
      </c>
      <c r="AN68" s="118" t="e">
        <f>AN67/(AL67+AM67+AN67)</f>
        <v>#DIV/0!</v>
      </c>
      <c r="AP68" s="118" t="e">
        <f>AP67/(AP67+AQ67+AR67)</f>
        <v>#DIV/0!</v>
      </c>
      <c r="AQ68" s="118" t="e">
        <f>AQ67/(AP67+AQ67+AR67)</f>
        <v>#DIV/0!</v>
      </c>
      <c r="AR68" s="118" t="e">
        <f>AR67/(AP67+AQ67+AR67)</f>
        <v>#DIV/0!</v>
      </c>
      <c r="AT68" s="118" t="e">
        <f>AT67/(AT67+AU67+AV67)</f>
        <v>#DIV/0!</v>
      </c>
      <c r="AU68" s="118" t="e">
        <f>AU67/(AT67+AU67+AV67)</f>
        <v>#DIV/0!</v>
      </c>
      <c r="AV68" s="118" t="e">
        <f>AV67/(AT67+AU67+AV67)</f>
        <v>#DIV/0!</v>
      </c>
      <c r="AX68" s="118" t="e">
        <f>AX67/(AX67+AY67+AZ67)</f>
        <v>#DIV/0!</v>
      </c>
      <c r="AY68" s="118" t="e">
        <f>AY67/(AX67+AY67+AZ67)</f>
        <v>#DIV/0!</v>
      </c>
      <c r="AZ68" s="118" t="e">
        <f>AZ67/(AX67+AY67+AZ67)</f>
        <v>#DIV/0!</v>
      </c>
    </row>
    <row r="69" spans="1:256" x14ac:dyDescent="0.25">
      <c r="A69" s="131"/>
      <c r="B69" s="131"/>
      <c r="C69" s="131"/>
      <c r="D69" s="132"/>
      <c r="F69" s="118"/>
      <c r="G69" s="118"/>
      <c r="H69" s="118"/>
      <c r="J69" s="118"/>
      <c r="K69" s="118"/>
      <c r="L69" s="118"/>
      <c r="N69" s="118"/>
      <c r="O69" s="118"/>
      <c r="P69" s="118"/>
      <c r="R69" s="118"/>
      <c r="S69" s="118"/>
      <c r="T69" s="118"/>
      <c r="V69" s="118"/>
      <c r="W69" s="118"/>
      <c r="X69" s="118"/>
      <c r="Y69" s="134"/>
      <c r="Z69" s="118"/>
      <c r="AA69" s="118"/>
      <c r="AB69" s="118"/>
      <c r="AC69" s="134"/>
      <c r="AD69" s="118"/>
      <c r="AE69" s="118"/>
      <c r="AF69" s="118"/>
      <c r="AG69" s="134"/>
      <c r="AH69" s="118"/>
      <c r="AI69" s="118"/>
      <c r="AJ69" s="118"/>
      <c r="AK69" s="134"/>
      <c r="AL69" s="118"/>
      <c r="AM69" s="118"/>
      <c r="AN69" s="118"/>
      <c r="AO69" s="134"/>
      <c r="AP69" s="118"/>
      <c r="AQ69" s="118"/>
      <c r="AR69" s="118"/>
      <c r="AS69" s="134"/>
      <c r="AT69" s="118"/>
      <c r="AU69" s="118"/>
      <c r="AV69" s="118"/>
      <c r="AW69" s="134"/>
      <c r="AX69" s="118"/>
      <c r="AY69" s="118"/>
      <c r="AZ69" s="118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134"/>
      <c r="DV69" s="134"/>
      <c r="DW69" s="134"/>
      <c r="DX69" s="134"/>
      <c r="DY69" s="134"/>
      <c r="DZ69" s="134"/>
      <c r="EA69" s="134"/>
      <c r="EB69" s="134"/>
      <c r="EC69" s="134"/>
      <c r="ED69" s="134"/>
      <c r="EE69" s="134"/>
      <c r="EF69" s="134"/>
      <c r="EG69" s="134"/>
      <c r="EH69" s="134"/>
      <c r="EI69" s="134"/>
      <c r="EJ69" s="134"/>
      <c r="EK69" s="134"/>
      <c r="EL69" s="134"/>
      <c r="EM69" s="134"/>
      <c r="EN69" s="134"/>
      <c r="EO69" s="134"/>
      <c r="EP69" s="134"/>
      <c r="EQ69" s="134"/>
      <c r="ER69" s="134"/>
      <c r="ES69" s="134"/>
      <c r="ET69" s="134"/>
      <c r="EU69" s="134"/>
      <c r="EV69" s="134"/>
      <c r="EW69" s="134"/>
      <c r="EX69" s="134"/>
      <c r="EY69" s="134"/>
      <c r="EZ69" s="134"/>
      <c r="FA69" s="134"/>
      <c r="FB69" s="134"/>
      <c r="FC69" s="134"/>
      <c r="FD69" s="134"/>
      <c r="FE69" s="134"/>
      <c r="FF69" s="134"/>
      <c r="FG69" s="134"/>
      <c r="FH69" s="134"/>
      <c r="FI69" s="134"/>
      <c r="FJ69" s="134"/>
      <c r="FK69" s="134"/>
      <c r="FL69" s="134"/>
      <c r="FM69" s="134"/>
      <c r="FN69" s="134"/>
      <c r="FO69" s="134"/>
      <c r="FP69" s="134"/>
      <c r="FQ69" s="134"/>
      <c r="FR69" s="134"/>
      <c r="FS69" s="134"/>
      <c r="FT69" s="134"/>
      <c r="FU69" s="134"/>
      <c r="FV69" s="134"/>
      <c r="FW69" s="134"/>
      <c r="FX69" s="134"/>
      <c r="FY69" s="134"/>
      <c r="FZ69" s="134"/>
      <c r="GA69" s="134"/>
      <c r="GB69" s="134"/>
      <c r="GC69" s="134"/>
      <c r="GD69" s="134"/>
      <c r="GE69" s="134"/>
      <c r="GF69" s="134"/>
      <c r="GG69" s="134"/>
      <c r="GH69" s="134"/>
      <c r="GI69" s="134"/>
      <c r="GJ69" s="134"/>
      <c r="GK69" s="134"/>
      <c r="GL69" s="134"/>
      <c r="GM69" s="134"/>
      <c r="GN69" s="134"/>
      <c r="GO69" s="134"/>
      <c r="GP69" s="134"/>
      <c r="GQ69" s="134"/>
      <c r="GR69" s="134"/>
      <c r="GS69" s="134"/>
      <c r="GT69" s="134"/>
      <c r="GU69" s="134"/>
      <c r="GV69" s="134"/>
      <c r="GW69" s="134"/>
      <c r="GX69" s="134"/>
      <c r="GY69" s="134"/>
      <c r="GZ69" s="134"/>
      <c r="HA69" s="134"/>
      <c r="HB69" s="134"/>
      <c r="HC69" s="134"/>
      <c r="HD69" s="134"/>
      <c r="HE69" s="134"/>
      <c r="HF69" s="134"/>
      <c r="HG69" s="134"/>
      <c r="HH69" s="134"/>
      <c r="HI69" s="134"/>
      <c r="HJ69" s="134"/>
      <c r="HK69" s="134"/>
      <c r="HL69" s="134"/>
      <c r="HM69" s="134"/>
      <c r="HN69" s="134"/>
      <c r="HO69" s="134"/>
      <c r="HP69" s="134"/>
      <c r="HQ69" s="134"/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D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4"/>
      <c r="IO69" s="134"/>
      <c r="IP69" s="134"/>
      <c r="IQ69" s="134"/>
      <c r="IR69" s="134"/>
      <c r="IS69" s="134"/>
      <c r="IT69" s="134"/>
      <c r="IU69" s="134"/>
      <c r="IV69" s="134"/>
    </row>
    <row r="70" spans="1:256" x14ac:dyDescent="0.25">
      <c r="A70" s="124"/>
      <c r="B70" s="124"/>
      <c r="C70" s="133" t="s">
        <v>569</v>
      </c>
      <c r="D70" s="116" t="s">
        <v>59</v>
      </c>
      <c r="F70" s="116">
        <f>F67</f>
        <v>30426</v>
      </c>
      <c r="G70" s="116">
        <f>G67</f>
        <v>2465</v>
      </c>
      <c r="H70" s="116">
        <f>H67</f>
        <v>65</v>
      </c>
      <c r="J70" s="116">
        <f>F70+J67</f>
        <v>57158</v>
      </c>
      <c r="K70" s="116">
        <f>G70+K67</f>
        <v>3787</v>
      </c>
      <c r="L70" s="116">
        <f>H70+L67</f>
        <v>108</v>
      </c>
      <c r="N70" s="116">
        <f>J70+N67</f>
        <v>89459</v>
      </c>
      <c r="O70" s="116">
        <f>K70+O67</f>
        <v>5544</v>
      </c>
      <c r="P70" s="116">
        <f>L70+P67</f>
        <v>151</v>
      </c>
      <c r="R70" s="116">
        <f>N70+R67</f>
        <v>102067</v>
      </c>
      <c r="S70" s="116">
        <f>O70+S67</f>
        <v>7022</v>
      </c>
      <c r="T70" s="116">
        <f>P70+T67</f>
        <v>172</v>
      </c>
      <c r="V70" s="116">
        <f>R70+V67</f>
        <v>130920</v>
      </c>
      <c r="W70" s="116">
        <f>S70+W67</f>
        <v>10127</v>
      </c>
      <c r="X70" s="116">
        <f>T70+X67</f>
        <v>246</v>
      </c>
      <c r="Y70" s="134"/>
      <c r="Z70" s="116">
        <f>V70+Z67</f>
        <v>169033</v>
      </c>
      <c r="AA70" s="116">
        <f>W70+AA67</f>
        <v>13895</v>
      </c>
      <c r="AB70" s="116">
        <f>X70+AB67</f>
        <v>339</v>
      </c>
      <c r="AC70" s="134"/>
      <c r="AD70" s="116">
        <f>Z70+AD67</f>
        <v>210584</v>
      </c>
      <c r="AE70" s="116">
        <f>AA70+AE67</f>
        <v>14993</v>
      </c>
      <c r="AF70" s="116">
        <f>AB70+AF67</f>
        <v>362</v>
      </c>
      <c r="AG70" s="134"/>
      <c r="AH70" s="116">
        <f>AD70+AH67</f>
        <v>210584</v>
      </c>
      <c r="AI70" s="116">
        <f>AE70+AI67</f>
        <v>14993</v>
      </c>
      <c r="AJ70" s="116">
        <f>AF70+AJ67</f>
        <v>362</v>
      </c>
      <c r="AK70" s="134"/>
      <c r="AL70" s="116">
        <f>AH70+AL67</f>
        <v>210584</v>
      </c>
      <c r="AM70" s="116">
        <f>AI70+AM67</f>
        <v>14993</v>
      </c>
      <c r="AN70" s="116">
        <f>AJ70+AN67</f>
        <v>362</v>
      </c>
      <c r="AO70" s="134"/>
      <c r="AP70" s="116">
        <f>AL70+AP67</f>
        <v>210584</v>
      </c>
      <c r="AQ70" s="116">
        <f>AM70+AQ67</f>
        <v>14993</v>
      </c>
      <c r="AR70" s="116">
        <f>AN70+AR67</f>
        <v>362</v>
      </c>
      <c r="AS70" s="134"/>
      <c r="AT70" s="116">
        <f>AP70+AT67</f>
        <v>210584</v>
      </c>
      <c r="AU70" s="116">
        <f>AQ70+AU67</f>
        <v>14993</v>
      </c>
      <c r="AV70" s="116">
        <f>AR70+AV67</f>
        <v>362</v>
      </c>
      <c r="AW70" s="134"/>
      <c r="AX70" s="116">
        <f>AT70+AX67</f>
        <v>210584</v>
      </c>
      <c r="AY70" s="116">
        <f>AU70+AY67</f>
        <v>14993</v>
      </c>
      <c r="AZ70" s="116">
        <f>AV70+AZ67</f>
        <v>362</v>
      </c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  <c r="EX70" s="134"/>
      <c r="EY70" s="134"/>
      <c r="EZ70" s="134"/>
      <c r="FA70" s="134"/>
      <c r="FB70" s="134"/>
      <c r="FC70" s="134"/>
      <c r="FD70" s="134"/>
      <c r="FE70" s="134"/>
      <c r="FF70" s="134"/>
      <c r="FG70" s="134"/>
      <c r="FH70" s="134"/>
      <c r="FI70" s="134"/>
      <c r="FJ70" s="134"/>
      <c r="FK70" s="134"/>
      <c r="FL70" s="134"/>
      <c r="FM70" s="134"/>
      <c r="FN70" s="134"/>
      <c r="FO70" s="134"/>
      <c r="FP70" s="134"/>
      <c r="FQ70" s="134"/>
      <c r="FR70" s="134"/>
      <c r="FS70" s="134"/>
      <c r="FT70" s="134"/>
      <c r="FU70" s="134"/>
      <c r="FV70" s="134"/>
      <c r="FW70" s="134"/>
      <c r="FX70" s="134"/>
      <c r="FY70" s="134"/>
      <c r="FZ70" s="134"/>
      <c r="GA70" s="134"/>
      <c r="GB70" s="134"/>
      <c r="GC70" s="134"/>
      <c r="GD70" s="134"/>
      <c r="GE70" s="134"/>
      <c r="GF70" s="134"/>
      <c r="GG70" s="134"/>
      <c r="GH70" s="134"/>
      <c r="GI70" s="134"/>
      <c r="GJ70" s="134"/>
      <c r="GK70" s="134"/>
      <c r="GL70" s="134"/>
      <c r="GM70" s="134"/>
      <c r="GN70" s="134"/>
      <c r="GO70" s="134"/>
      <c r="GP70" s="134"/>
      <c r="GQ70" s="134"/>
      <c r="GR70" s="134"/>
      <c r="GS70" s="134"/>
      <c r="GT70" s="134"/>
      <c r="GU70" s="134"/>
      <c r="GV70" s="134"/>
      <c r="GW70" s="134"/>
      <c r="GX70" s="134"/>
      <c r="GY70" s="134"/>
      <c r="GZ70" s="134"/>
      <c r="HA70" s="134"/>
      <c r="HB70" s="134"/>
      <c r="HC70" s="134"/>
      <c r="HD70" s="134"/>
      <c r="HE70" s="134"/>
      <c r="HF70" s="134"/>
      <c r="HG70" s="134"/>
      <c r="HH70" s="134"/>
      <c r="HI70" s="134"/>
      <c r="HJ70" s="134"/>
      <c r="HK70" s="134"/>
      <c r="HL70" s="134"/>
      <c r="HM70" s="134"/>
      <c r="HN70" s="134"/>
      <c r="HO70" s="134"/>
      <c r="HP70" s="134"/>
      <c r="HQ70" s="134"/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D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4"/>
      <c r="IO70" s="134"/>
      <c r="IP70" s="134"/>
      <c r="IQ70" s="134"/>
      <c r="IR70" s="134"/>
      <c r="IS70" s="134"/>
      <c r="IT70" s="134"/>
      <c r="IU70" s="134"/>
      <c r="IV70" s="134"/>
    </row>
    <row r="71" spans="1:256" x14ac:dyDescent="0.25">
      <c r="A71" s="124"/>
      <c r="B71" s="124"/>
      <c r="C71" s="133" t="s">
        <v>64</v>
      </c>
      <c r="D71" s="117" t="s">
        <v>181</v>
      </c>
      <c r="F71" s="118">
        <f>F70/(F70+G70+H70)</f>
        <v>0.92323097463284376</v>
      </c>
      <c r="G71" s="118">
        <f>G70/(F70+G70+H70)</f>
        <v>7.4796698628474323E-2</v>
      </c>
      <c r="H71" s="118">
        <f>H70/(F70+G70+H70)</f>
        <v>1.9723267386818791E-3</v>
      </c>
      <c r="J71" s="118">
        <f>J70/(J70+K70+L70)</f>
        <v>0.936202971188967</v>
      </c>
      <c r="K71" s="118">
        <f>K70/(J70+K70+L70)</f>
        <v>6.2028073968519157E-2</v>
      </c>
      <c r="L71" s="118">
        <f>L70/(J70+K70+L70)</f>
        <v>1.7689548425138815E-3</v>
      </c>
      <c r="N71" s="118">
        <f>N70/(N70+O70+P70)</f>
        <v>0.94014965214284218</v>
      </c>
      <c r="O71" s="118">
        <f>O70/(N70+O70+P70)</f>
        <v>5.8263446623368437E-2</v>
      </c>
      <c r="P71" s="118">
        <f>P70/(N70+O70+P70)</f>
        <v>1.5869012337894361E-3</v>
      </c>
      <c r="R71" s="118">
        <f>R70/(R70+S70+T70)</f>
        <v>0.93415765918305704</v>
      </c>
      <c r="S71" s="118">
        <f>S70/(R70+S70+T70)</f>
        <v>6.4268128609476394E-2</v>
      </c>
      <c r="T71" s="118">
        <f>T70/(R70+S70+T70)</f>
        <v>1.574212207466525E-3</v>
      </c>
      <c r="V71" s="118">
        <f>V70/(V70+W70+X70)</f>
        <v>0.92658518114839372</v>
      </c>
      <c r="W71" s="118">
        <f>W70/(V70+W70+X70)</f>
        <v>7.1673755953939683E-2</v>
      </c>
      <c r="X71" s="118">
        <f>X70/(V70+W70+X70)</f>
        <v>1.7410628976665512E-3</v>
      </c>
      <c r="Y71" s="134"/>
      <c r="Z71" s="118">
        <f>Z70/(Z70+AA70+AB70)</f>
        <v>0.92233189826864626</v>
      </c>
      <c r="AA71" s="118">
        <f>AA70/(Z70+AA70+AB70)</f>
        <v>7.5818341545395518E-2</v>
      </c>
      <c r="AB71" s="118">
        <f>AB70/(Z70+AA70+AB70)</f>
        <v>1.8497601859581922E-3</v>
      </c>
      <c r="AC71" s="134"/>
      <c r="AD71" s="118">
        <f>AD70/(AD70+AE70+AF70)</f>
        <v>0.9320391787163792</v>
      </c>
      <c r="AE71" s="118">
        <f>AE70/(AD70+AE70+AF70)</f>
        <v>6.6358618919265824E-2</v>
      </c>
      <c r="AF71" s="118">
        <f>AF70/(AD70+AE70+AF70)</f>
        <v>1.6022023643549807E-3</v>
      </c>
      <c r="AG71" s="134"/>
      <c r="AH71" s="118">
        <f>AH70/(AH70+AI70+AJ70)</f>
        <v>0.9320391787163792</v>
      </c>
      <c r="AI71" s="118">
        <f>AI70/(AH70+AI70+AJ70)</f>
        <v>6.6358618919265824E-2</v>
      </c>
      <c r="AJ71" s="118">
        <f>AJ70/(AH70+AI70+AJ70)</f>
        <v>1.6022023643549807E-3</v>
      </c>
      <c r="AK71" s="134"/>
      <c r="AL71" s="118">
        <f>AL70/(AL70+AM70+AN70)</f>
        <v>0.9320391787163792</v>
      </c>
      <c r="AM71" s="118">
        <f>AM70/(AL70+AM70+AN70)</f>
        <v>6.6358618919265824E-2</v>
      </c>
      <c r="AN71" s="118">
        <f>AN70/(AL70+AM70+AN70)</f>
        <v>1.6022023643549807E-3</v>
      </c>
      <c r="AO71" s="134"/>
      <c r="AP71" s="118">
        <f>AP70/(AP70+AQ70+AR70)</f>
        <v>0.9320391787163792</v>
      </c>
      <c r="AQ71" s="118">
        <f>AQ70/(AP70+AQ70+AR70)</f>
        <v>6.6358618919265824E-2</v>
      </c>
      <c r="AR71" s="118">
        <f>AR70/(AP70+AQ70+AR70)</f>
        <v>1.6022023643549807E-3</v>
      </c>
      <c r="AS71" s="134"/>
      <c r="AT71" s="118">
        <f>AT70/(AT70+AU70+AV70)</f>
        <v>0.9320391787163792</v>
      </c>
      <c r="AU71" s="118">
        <f>AU70/(AT70+AU70+AV70)</f>
        <v>6.6358618919265824E-2</v>
      </c>
      <c r="AV71" s="118">
        <f>AV70/(AT70+AU70+AV70)</f>
        <v>1.6022023643549807E-3</v>
      </c>
      <c r="AW71" s="134"/>
      <c r="AX71" s="118">
        <f>AX70/(AX70+AY70+AZ70)</f>
        <v>0.9320391787163792</v>
      </c>
      <c r="AY71" s="118">
        <f>AY70/(AX70+AY70+AZ70)</f>
        <v>6.6358618919265824E-2</v>
      </c>
      <c r="AZ71" s="118">
        <f>AZ70/(AX70+AY70+AZ70)</f>
        <v>1.6022023643549807E-3</v>
      </c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134"/>
      <c r="DV71" s="134"/>
      <c r="DW71" s="134"/>
      <c r="DX71" s="134"/>
      <c r="DY71" s="134"/>
      <c r="DZ71" s="134"/>
      <c r="EA71" s="134"/>
      <c r="EB71" s="134"/>
      <c r="EC71" s="134"/>
      <c r="ED71" s="134"/>
      <c r="EE71" s="134"/>
      <c r="EF71" s="134"/>
      <c r="EG71" s="134"/>
      <c r="EH71" s="134"/>
      <c r="EI71" s="134"/>
      <c r="EJ71" s="134"/>
      <c r="EK71" s="134"/>
      <c r="EL71" s="134"/>
      <c r="EM71" s="134"/>
      <c r="EN71" s="134"/>
      <c r="EO71" s="134"/>
      <c r="EP71" s="134"/>
      <c r="EQ71" s="134"/>
      <c r="ER71" s="134"/>
      <c r="ES71" s="134"/>
      <c r="ET71" s="134"/>
      <c r="EU71" s="134"/>
      <c r="EV71" s="134"/>
      <c r="EW71" s="134"/>
      <c r="EX71" s="134"/>
      <c r="EY71" s="134"/>
      <c r="EZ71" s="134"/>
      <c r="FA71" s="134"/>
      <c r="FB71" s="134"/>
      <c r="FC71" s="134"/>
      <c r="FD71" s="134"/>
      <c r="FE71" s="134"/>
      <c r="FF71" s="134"/>
      <c r="FG71" s="134"/>
      <c r="FH71" s="134"/>
      <c r="FI71" s="134"/>
      <c r="FJ71" s="134"/>
      <c r="FK71" s="134"/>
      <c r="FL71" s="134"/>
      <c r="FM71" s="134"/>
      <c r="FN71" s="134"/>
      <c r="FO71" s="134"/>
      <c r="FP71" s="134"/>
      <c r="FQ71" s="134"/>
      <c r="FR71" s="134"/>
      <c r="FS71" s="134"/>
      <c r="FT71" s="134"/>
      <c r="FU71" s="134"/>
      <c r="FV71" s="134"/>
      <c r="FW71" s="134"/>
      <c r="FX71" s="134"/>
      <c r="FY71" s="134"/>
      <c r="FZ71" s="134"/>
      <c r="GA71" s="134"/>
      <c r="GB71" s="134"/>
      <c r="GC71" s="134"/>
      <c r="GD71" s="134"/>
      <c r="GE71" s="134"/>
      <c r="GF71" s="134"/>
      <c r="GG71" s="134"/>
      <c r="GH71" s="134"/>
      <c r="GI71" s="134"/>
      <c r="GJ71" s="134"/>
      <c r="GK71" s="134"/>
      <c r="GL71" s="134"/>
      <c r="GM71" s="134"/>
      <c r="GN71" s="134"/>
      <c r="GO71" s="134"/>
      <c r="GP71" s="134"/>
      <c r="GQ71" s="134"/>
      <c r="GR71" s="134"/>
      <c r="GS71" s="134"/>
      <c r="GT71" s="134"/>
      <c r="GU71" s="134"/>
      <c r="GV71" s="134"/>
      <c r="GW71" s="134"/>
      <c r="GX71" s="134"/>
      <c r="GY71" s="134"/>
      <c r="GZ71" s="134"/>
      <c r="HA71" s="134"/>
      <c r="HB71" s="134"/>
      <c r="HC71" s="134"/>
      <c r="HD71" s="134"/>
      <c r="HE71" s="134"/>
      <c r="HF71" s="134"/>
      <c r="HG71" s="134"/>
      <c r="HH71" s="134"/>
      <c r="HI71" s="134"/>
      <c r="HJ71" s="134"/>
      <c r="HK71" s="134"/>
      <c r="HL71" s="134"/>
      <c r="HM71" s="134"/>
      <c r="HN71" s="134"/>
      <c r="HO71" s="134"/>
      <c r="HP71" s="134"/>
      <c r="HQ71" s="134"/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D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4"/>
      <c r="IO71" s="134"/>
      <c r="IP71" s="134"/>
      <c r="IQ71" s="134"/>
      <c r="IR71" s="134"/>
      <c r="IS71" s="134"/>
      <c r="IT71" s="134"/>
      <c r="IU71" s="134"/>
      <c r="IV71" s="134"/>
    </row>
    <row r="72" spans="1:256" x14ac:dyDescent="0.25">
      <c r="A72" s="112"/>
      <c r="B72" s="112"/>
      <c r="C72" s="112"/>
      <c r="D72" s="112"/>
    </row>
    <row r="84" spans="3:4" ht="45" x14ac:dyDescent="0.25">
      <c r="C84" s="174"/>
      <c r="D84" s="174" t="s">
        <v>646</v>
      </c>
    </row>
  </sheetData>
  <sortState ref="B5:AB67">
    <sortCondition ref="C5:C67"/>
  </sortState>
  <mergeCells count="16">
    <mergeCell ref="J2:L2"/>
    <mergeCell ref="A2:A3"/>
    <mergeCell ref="B2:B3"/>
    <mergeCell ref="C2:C3"/>
    <mergeCell ref="D2:D3"/>
    <mergeCell ref="F2:H2"/>
    <mergeCell ref="AD2:AF2"/>
    <mergeCell ref="N2:P2"/>
    <mergeCell ref="R2:T2"/>
    <mergeCell ref="V2:X2"/>
    <mergeCell ref="Z2:AB2"/>
    <mergeCell ref="AP2:AR2"/>
    <mergeCell ref="AT2:AV2"/>
    <mergeCell ref="AX2:AZ2"/>
    <mergeCell ref="AH2:AJ2"/>
    <mergeCell ref="AL2:AN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V71"/>
  <sheetViews>
    <sheetView topLeftCell="S1" zoomScaleNormal="100" workbookViewId="0">
      <pane ySplit="3" topLeftCell="A4" activePane="bottomLeft" state="frozen"/>
      <selection activeCell="AB77" sqref="AB77"/>
      <selection pane="bottomLeft" activeCell="AY11" sqref="AY11"/>
    </sheetView>
  </sheetViews>
  <sheetFormatPr defaultColWidth="8.85546875" defaultRowHeight="15" x14ac:dyDescent="0.25"/>
  <cols>
    <col min="1" max="1" width="8.85546875" style="110"/>
    <col min="2" max="2" width="20.28515625" style="110" customWidth="1"/>
    <col min="3" max="3" width="43.42578125" style="110" bestFit="1" customWidth="1"/>
    <col min="4" max="4" width="11" style="111" customWidth="1"/>
    <col min="5" max="5" width="2.7109375" style="134" customWidth="1"/>
    <col min="6" max="6" width="9.140625" style="112" customWidth="1"/>
    <col min="7" max="7" width="7.7109375" style="112" customWidth="1"/>
    <col min="8" max="8" width="7.5703125" style="112" customWidth="1"/>
    <col min="9" max="9" width="2.7109375" style="134" customWidth="1"/>
    <col min="10" max="10" width="9.7109375" style="112" customWidth="1"/>
    <col min="11" max="11" width="7.7109375" style="112" customWidth="1"/>
    <col min="12" max="12" width="7.5703125" style="112" customWidth="1"/>
    <col min="13" max="13" width="2.7109375" style="134" customWidth="1"/>
    <col min="14" max="14" width="9.7109375" style="112" customWidth="1"/>
    <col min="15" max="15" width="7.7109375" style="112" customWidth="1"/>
    <col min="16" max="16" width="7.5703125" style="112" customWidth="1"/>
    <col min="17" max="17" width="2.7109375" style="134" customWidth="1"/>
    <col min="18" max="18" width="9.7109375" style="112" customWidth="1"/>
    <col min="19" max="19" width="7.7109375" style="112" customWidth="1"/>
    <col min="20" max="20" width="7.5703125" style="112" customWidth="1"/>
    <col min="21" max="21" width="2.7109375" style="134" customWidth="1"/>
    <col min="22" max="22" width="9.7109375" style="110" customWidth="1"/>
    <col min="23" max="24" width="8.85546875" style="110" customWidth="1"/>
    <col min="25" max="25" width="2.7109375" style="135" customWidth="1"/>
    <col min="26" max="26" width="9.7109375" style="110" bestFit="1" customWidth="1"/>
    <col min="27" max="28" width="8.85546875" style="110"/>
    <col min="29" max="29" width="2.7109375" style="135" customWidth="1"/>
    <col min="30" max="30" width="9.7109375" style="110" bestFit="1" customWidth="1"/>
    <col min="31" max="32" width="8.85546875" style="110"/>
    <col min="33" max="33" width="2.7109375" style="135" customWidth="1"/>
    <col min="34" max="34" width="9.7109375" style="110" bestFit="1" customWidth="1"/>
    <col min="35" max="36" width="8.85546875" style="110"/>
    <col min="37" max="37" width="2.7109375" style="135" customWidth="1"/>
    <col min="38" max="38" width="9.7109375" style="110" bestFit="1" customWidth="1"/>
    <col min="39" max="40" width="8.85546875" style="110"/>
    <col min="41" max="41" width="2.7109375" style="135" customWidth="1"/>
    <col min="42" max="42" width="9.7109375" style="110" bestFit="1" customWidth="1"/>
    <col min="43" max="44" width="8.85546875" style="110"/>
    <col min="45" max="45" width="2.7109375" style="135" customWidth="1"/>
    <col min="46" max="46" width="9.7109375" style="110" bestFit="1" customWidth="1"/>
    <col min="47" max="48" width="8.85546875" style="110"/>
    <col min="49" max="49" width="2.7109375" style="135" customWidth="1"/>
    <col min="50" max="50" width="9.7109375" style="110" bestFit="1" customWidth="1"/>
    <col min="51" max="52" width="8.85546875" style="110"/>
    <col min="53" max="257" width="8.85546875" style="135"/>
    <col min="258" max="258" width="20.28515625" style="135" customWidth="1"/>
    <col min="259" max="259" width="43.42578125" style="135" bestFit="1" customWidth="1"/>
    <col min="260" max="260" width="8.7109375" style="135" customWidth="1"/>
    <col min="261" max="261" width="2.7109375" style="135" customWidth="1"/>
    <col min="262" max="262" width="9.140625" style="135" bestFit="1" customWidth="1"/>
    <col min="263" max="263" width="7.7109375" style="135" bestFit="1" customWidth="1"/>
    <col min="264" max="264" width="7.5703125" style="135" bestFit="1" customWidth="1"/>
    <col min="265" max="265" width="2.7109375" style="135" customWidth="1"/>
    <col min="266" max="266" width="7.5703125" style="135" bestFit="1" customWidth="1"/>
    <col min="267" max="267" width="7.7109375" style="135" bestFit="1" customWidth="1"/>
    <col min="268" max="268" width="7.5703125" style="135" bestFit="1" customWidth="1"/>
    <col min="269" max="513" width="8.85546875" style="135"/>
    <col min="514" max="514" width="20.28515625" style="135" customWidth="1"/>
    <col min="515" max="515" width="43.42578125" style="135" bestFit="1" customWidth="1"/>
    <col min="516" max="516" width="8.7109375" style="135" customWidth="1"/>
    <col min="517" max="517" width="2.7109375" style="135" customWidth="1"/>
    <col min="518" max="518" width="9.140625" style="135" bestFit="1" customWidth="1"/>
    <col min="519" max="519" width="7.7109375" style="135" bestFit="1" customWidth="1"/>
    <col min="520" max="520" width="7.5703125" style="135" bestFit="1" customWidth="1"/>
    <col min="521" max="521" width="2.7109375" style="135" customWidth="1"/>
    <col min="522" max="522" width="7.5703125" style="135" bestFit="1" customWidth="1"/>
    <col min="523" max="523" width="7.7109375" style="135" bestFit="1" customWidth="1"/>
    <col min="524" max="524" width="7.5703125" style="135" bestFit="1" customWidth="1"/>
    <col min="525" max="769" width="8.85546875" style="135"/>
    <col min="770" max="770" width="20.28515625" style="135" customWidth="1"/>
    <col min="771" max="771" width="43.42578125" style="135" bestFit="1" customWidth="1"/>
    <col min="772" max="772" width="8.7109375" style="135" customWidth="1"/>
    <col min="773" max="773" width="2.7109375" style="135" customWidth="1"/>
    <col min="774" max="774" width="9.140625" style="135" bestFit="1" customWidth="1"/>
    <col min="775" max="775" width="7.7109375" style="135" bestFit="1" customWidth="1"/>
    <col min="776" max="776" width="7.5703125" style="135" bestFit="1" customWidth="1"/>
    <col min="777" max="777" width="2.7109375" style="135" customWidth="1"/>
    <col min="778" max="778" width="7.5703125" style="135" bestFit="1" customWidth="1"/>
    <col min="779" max="779" width="7.7109375" style="135" bestFit="1" customWidth="1"/>
    <col min="780" max="780" width="7.5703125" style="135" bestFit="1" customWidth="1"/>
    <col min="781" max="1025" width="8.85546875" style="135"/>
    <col min="1026" max="1026" width="20.28515625" style="135" customWidth="1"/>
    <col min="1027" max="1027" width="43.42578125" style="135" bestFit="1" customWidth="1"/>
    <col min="1028" max="1028" width="8.7109375" style="135" customWidth="1"/>
    <col min="1029" max="1029" width="2.7109375" style="135" customWidth="1"/>
    <col min="1030" max="1030" width="9.140625" style="135" bestFit="1" customWidth="1"/>
    <col min="1031" max="1031" width="7.7109375" style="135" bestFit="1" customWidth="1"/>
    <col min="1032" max="1032" width="7.5703125" style="135" bestFit="1" customWidth="1"/>
    <col min="1033" max="1033" width="2.7109375" style="135" customWidth="1"/>
    <col min="1034" max="1034" width="7.5703125" style="135" bestFit="1" customWidth="1"/>
    <col min="1035" max="1035" width="7.7109375" style="135" bestFit="1" customWidth="1"/>
    <col min="1036" max="1036" width="7.5703125" style="135" bestFit="1" customWidth="1"/>
    <col min="1037" max="1281" width="8.85546875" style="135"/>
    <col min="1282" max="1282" width="20.28515625" style="135" customWidth="1"/>
    <col min="1283" max="1283" width="43.42578125" style="135" bestFit="1" customWidth="1"/>
    <col min="1284" max="1284" width="8.7109375" style="135" customWidth="1"/>
    <col min="1285" max="1285" width="2.7109375" style="135" customWidth="1"/>
    <col min="1286" max="1286" width="9.140625" style="135" bestFit="1" customWidth="1"/>
    <col min="1287" max="1287" width="7.7109375" style="135" bestFit="1" customWidth="1"/>
    <col min="1288" max="1288" width="7.5703125" style="135" bestFit="1" customWidth="1"/>
    <col min="1289" max="1289" width="2.7109375" style="135" customWidth="1"/>
    <col min="1290" max="1290" width="7.5703125" style="135" bestFit="1" customWidth="1"/>
    <col min="1291" max="1291" width="7.7109375" style="135" bestFit="1" customWidth="1"/>
    <col min="1292" max="1292" width="7.5703125" style="135" bestFit="1" customWidth="1"/>
    <col min="1293" max="1537" width="8.85546875" style="135"/>
    <col min="1538" max="1538" width="20.28515625" style="135" customWidth="1"/>
    <col min="1539" max="1539" width="43.42578125" style="135" bestFit="1" customWidth="1"/>
    <col min="1540" max="1540" width="8.7109375" style="135" customWidth="1"/>
    <col min="1541" max="1541" width="2.7109375" style="135" customWidth="1"/>
    <col min="1542" max="1542" width="9.140625" style="135" bestFit="1" customWidth="1"/>
    <col min="1543" max="1543" width="7.7109375" style="135" bestFit="1" customWidth="1"/>
    <col min="1544" max="1544" width="7.5703125" style="135" bestFit="1" customWidth="1"/>
    <col min="1545" max="1545" width="2.7109375" style="135" customWidth="1"/>
    <col min="1546" max="1546" width="7.5703125" style="135" bestFit="1" customWidth="1"/>
    <col min="1547" max="1547" width="7.7109375" style="135" bestFit="1" customWidth="1"/>
    <col min="1548" max="1548" width="7.5703125" style="135" bestFit="1" customWidth="1"/>
    <col min="1549" max="1793" width="8.85546875" style="135"/>
    <col min="1794" max="1794" width="20.28515625" style="135" customWidth="1"/>
    <col min="1795" max="1795" width="43.42578125" style="135" bestFit="1" customWidth="1"/>
    <col min="1796" max="1796" width="8.7109375" style="135" customWidth="1"/>
    <col min="1797" max="1797" width="2.7109375" style="135" customWidth="1"/>
    <col min="1798" max="1798" width="9.140625" style="135" bestFit="1" customWidth="1"/>
    <col min="1799" max="1799" width="7.7109375" style="135" bestFit="1" customWidth="1"/>
    <col min="1800" max="1800" width="7.5703125" style="135" bestFit="1" customWidth="1"/>
    <col min="1801" max="1801" width="2.7109375" style="135" customWidth="1"/>
    <col min="1802" max="1802" width="7.5703125" style="135" bestFit="1" customWidth="1"/>
    <col min="1803" max="1803" width="7.7109375" style="135" bestFit="1" customWidth="1"/>
    <col min="1804" max="1804" width="7.5703125" style="135" bestFit="1" customWidth="1"/>
    <col min="1805" max="2049" width="8.85546875" style="135"/>
    <col min="2050" max="2050" width="20.28515625" style="135" customWidth="1"/>
    <col min="2051" max="2051" width="43.42578125" style="135" bestFit="1" customWidth="1"/>
    <col min="2052" max="2052" width="8.7109375" style="135" customWidth="1"/>
    <col min="2053" max="2053" width="2.7109375" style="135" customWidth="1"/>
    <col min="2054" max="2054" width="9.140625" style="135" bestFit="1" customWidth="1"/>
    <col min="2055" max="2055" width="7.7109375" style="135" bestFit="1" customWidth="1"/>
    <col min="2056" max="2056" width="7.5703125" style="135" bestFit="1" customWidth="1"/>
    <col min="2057" max="2057" width="2.7109375" style="135" customWidth="1"/>
    <col min="2058" max="2058" width="7.5703125" style="135" bestFit="1" customWidth="1"/>
    <col min="2059" max="2059" width="7.7109375" style="135" bestFit="1" customWidth="1"/>
    <col min="2060" max="2060" width="7.5703125" style="135" bestFit="1" customWidth="1"/>
    <col min="2061" max="2305" width="8.85546875" style="135"/>
    <col min="2306" max="2306" width="20.28515625" style="135" customWidth="1"/>
    <col min="2307" max="2307" width="43.42578125" style="135" bestFit="1" customWidth="1"/>
    <col min="2308" max="2308" width="8.7109375" style="135" customWidth="1"/>
    <col min="2309" max="2309" width="2.7109375" style="135" customWidth="1"/>
    <col min="2310" max="2310" width="9.140625" style="135" bestFit="1" customWidth="1"/>
    <col min="2311" max="2311" width="7.7109375" style="135" bestFit="1" customWidth="1"/>
    <col min="2312" max="2312" width="7.5703125" style="135" bestFit="1" customWidth="1"/>
    <col min="2313" max="2313" width="2.7109375" style="135" customWidth="1"/>
    <col min="2314" max="2314" width="7.5703125" style="135" bestFit="1" customWidth="1"/>
    <col min="2315" max="2315" width="7.7109375" style="135" bestFit="1" customWidth="1"/>
    <col min="2316" max="2316" width="7.5703125" style="135" bestFit="1" customWidth="1"/>
    <col min="2317" max="2561" width="8.85546875" style="135"/>
    <col min="2562" max="2562" width="20.28515625" style="135" customWidth="1"/>
    <col min="2563" max="2563" width="43.42578125" style="135" bestFit="1" customWidth="1"/>
    <col min="2564" max="2564" width="8.7109375" style="135" customWidth="1"/>
    <col min="2565" max="2565" width="2.7109375" style="135" customWidth="1"/>
    <col min="2566" max="2566" width="9.140625" style="135" bestFit="1" customWidth="1"/>
    <col min="2567" max="2567" width="7.7109375" style="135" bestFit="1" customWidth="1"/>
    <col min="2568" max="2568" width="7.5703125" style="135" bestFit="1" customWidth="1"/>
    <col min="2569" max="2569" width="2.7109375" style="135" customWidth="1"/>
    <col min="2570" max="2570" width="7.5703125" style="135" bestFit="1" customWidth="1"/>
    <col min="2571" max="2571" width="7.7109375" style="135" bestFit="1" customWidth="1"/>
    <col min="2572" max="2572" width="7.5703125" style="135" bestFit="1" customWidth="1"/>
    <col min="2573" max="2817" width="8.85546875" style="135"/>
    <col min="2818" max="2818" width="20.28515625" style="135" customWidth="1"/>
    <col min="2819" max="2819" width="43.42578125" style="135" bestFit="1" customWidth="1"/>
    <col min="2820" max="2820" width="8.7109375" style="135" customWidth="1"/>
    <col min="2821" max="2821" width="2.7109375" style="135" customWidth="1"/>
    <col min="2822" max="2822" width="9.140625" style="135" bestFit="1" customWidth="1"/>
    <col min="2823" max="2823" width="7.7109375" style="135" bestFit="1" customWidth="1"/>
    <col min="2824" max="2824" width="7.5703125" style="135" bestFit="1" customWidth="1"/>
    <col min="2825" max="2825" width="2.7109375" style="135" customWidth="1"/>
    <col min="2826" max="2826" width="7.5703125" style="135" bestFit="1" customWidth="1"/>
    <col min="2827" max="2827" width="7.7109375" style="135" bestFit="1" customWidth="1"/>
    <col min="2828" max="2828" width="7.5703125" style="135" bestFit="1" customWidth="1"/>
    <col min="2829" max="3073" width="8.85546875" style="135"/>
    <col min="3074" max="3074" width="20.28515625" style="135" customWidth="1"/>
    <col min="3075" max="3075" width="43.42578125" style="135" bestFit="1" customWidth="1"/>
    <col min="3076" max="3076" width="8.7109375" style="135" customWidth="1"/>
    <col min="3077" max="3077" width="2.7109375" style="135" customWidth="1"/>
    <col min="3078" max="3078" width="9.140625" style="135" bestFit="1" customWidth="1"/>
    <col min="3079" max="3079" width="7.7109375" style="135" bestFit="1" customWidth="1"/>
    <col min="3080" max="3080" width="7.5703125" style="135" bestFit="1" customWidth="1"/>
    <col min="3081" max="3081" width="2.7109375" style="135" customWidth="1"/>
    <col min="3082" max="3082" width="7.5703125" style="135" bestFit="1" customWidth="1"/>
    <col min="3083" max="3083" width="7.7109375" style="135" bestFit="1" customWidth="1"/>
    <col min="3084" max="3084" width="7.5703125" style="135" bestFit="1" customWidth="1"/>
    <col min="3085" max="3329" width="8.85546875" style="135"/>
    <col min="3330" max="3330" width="20.28515625" style="135" customWidth="1"/>
    <col min="3331" max="3331" width="43.42578125" style="135" bestFit="1" customWidth="1"/>
    <col min="3332" max="3332" width="8.7109375" style="135" customWidth="1"/>
    <col min="3333" max="3333" width="2.7109375" style="135" customWidth="1"/>
    <col min="3334" max="3334" width="9.140625" style="135" bestFit="1" customWidth="1"/>
    <col min="3335" max="3335" width="7.7109375" style="135" bestFit="1" customWidth="1"/>
    <col min="3336" max="3336" width="7.5703125" style="135" bestFit="1" customWidth="1"/>
    <col min="3337" max="3337" width="2.7109375" style="135" customWidth="1"/>
    <col min="3338" max="3338" width="7.5703125" style="135" bestFit="1" customWidth="1"/>
    <col min="3339" max="3339" width="7.7109375" style="135" bestFit="1" customWidth="1"/>
    <col min="3340" max="3340" width="7.5703125" style="135" bestFit="1" customWidth="1"/>
    <col min="3341" max="3585" width="8.85546875" style="135"/>
    <col min="3586" max="3586" width="20.28515625" style="135" customWidth="1"/>
    <col min="3587" max="3587" width="43.42578125" style="135" bestFit="1" customWidth="1"/>
    <col min="3588" max="3588" width="8.7109375" style="135" customWidth="1"/>
    <col min="3589" max="3589" width="2.7109375" style="135" customWidth="1"/>
    <col min="3590" max="3590" width="9.140625" style="135" bestFit="1" customWidth="1"/>
    <col min="3591" max="3591" width="7.7109375" style="135" bestFit="1" customWidth="1"/>
    <col min="3592" max="3592" width="7.5703125" style="135" bestFit="1" customWidth="1"/>
    <col min="3593" max="3593" width="2.7109375" style="135" customWidth="1"/>
    <col min="3594" max="3594" width="7.5703125" style="135" bestFit="1" customWidth="1"/>
    <col min="3595" max="3595" width="7.7109375" style="135" bestFit="1" customWidth="1"/>
    <col min="3596" max="3596" width="7.5703125" style="135" bestFit="1" customWidth="1"/>
    <col min="3597" max="3841" width="8.85546875" style="135"/>
    <col min="3842" max="3842" width="20.28515625" style="135" customWidth="1"/>
    <col min="3843" max="3843" width="43.42578125" style="135" bestFit="1" customWidth="1"/>
    <col min="3844" max="3844" width="8.7109375" style="135" customWidth="1"/>
    <col min="3845" max="3845" width="2.7109375" style="135" customWidth="1"/>
    <col min="3846" max="3846" width="9.140625" style="135" bestFit="1" customWidth="1"/>
    <col min="3847" max="3847" width="7.7109375" style="135" bestFit="1" customWidth="1"/>
    <col min="3848" max="3848" width="7.5703125" style="135" bestFit="1" customWidth="1"/>
    <col min="3849" max="3849" width="2.7109375" style="135" customWidth="1"/>
    <col min="3850" max="3850" width="7.5703125" style="135" bestFit="1" customWidth="1"/>
    <col min="3851" max="3851" width="7.7109375" style="135" bestFit="1" customWidth="1"/>
    <col min="3852" max="3852" width="7.5703125" style="135" bestFit="1" customWidth="1"/>
    <col min="3853" max="4097" width="8.85546875" style="135"/>
    <col min="4098" max="4098" width="20.28515625" style="135" customWidth="1"/>
    <col min="4099" max="4099" width="43.42578125" style="135" bestFit="1" customWidth="1"/>
    <col min="4100" max="4100" width="8.7109375" style="135" customWidth="1"/>
    <col min="4101" max="4101" width="2.7109375" style="135" customWidth="1"/>
    <col min="4102" max="4102" width="9.140625" style="135" bestFit="1" customWidth="1"/>
    <col min="4103" max="4103" width="7.7109375" style="135" bestFit="1" customWidth="1"/>
    <col min="4104" max="4104" width="7.5703125" style="135" bestFit="1" customWidth="1"/>
    <col min="4105" max="4105" width="2.7109375" style="135" customWidth="1"/>
    <col min="4106" max="4106" width="7.5703125" style="135" bestFit="1" customWidth="1"/>
    <col min="4107" max="4107" width="7.7109375" style="135" bestFit="1" customWidth="1"/>
    <col min="4108" max="4108" width="7.5703125" style="135" bestFit="1" customWidth="1"/>
    <col min="4109" max="4353" width="8.85546875" style="135"/>
    <col min="4354" max="4354" width="20.28515625" style="135" customWidth="1"/>
    <col min="4355" max="4355" width="43.42578125" style="135" bestFit="1" customWidth="1"/>
    <col min="4356" max="4356" width="8.7109375" style="135" customWidth="1"/>
    <col min="4357" max="4357" width="2.7109375" style="135" customWidth="1"/>
    <col min="4358" max="4358" width="9.140625" style="135" bestFit="1" customWidth="1"/>
    <col min="4359" max="4359" width="7.7109375" style="135" bestFit="1" customWidth="1"/>
    <col min="4360" max="4360" width="7.5703125" style="135" bestFit="1" customWidth="1"/>
    <col min="4361" max="4361" width="2.7109375" style="135" customWidth="1"/>
    <col min="4362" max="4362" width="7.5703125" style="135" bestFit="1" customWidth="1"/>
    <col min="4363" max="4363" width="7.7109375" style="135" bestFit="1" customWidth="1"/>
    <col min="4364" max="4364" width="7.5703125" style="135" bestFit="1" customWidth="1"/>
    <col min="4365" max="4609" width="8.85546875" style="135"/>
    <col min="4610" max="4610" width="20.28515625" style="135" customWidth="1"/>
    <col min="4611" max="4611" width="43.42578125" style="135" bestFit="1" customWidth="1"/>
    <col min="4612" max="4612" width="8.7109375" style="135" customWidth="1"/>
    <col min="4613" max="4613" width="2.7109375" style="135" customWidth="1"/>
    <col min="4614" max="4614" width="9.140625" style="135" bestFit="1" customWidth="1"/>
    <col min="4615" max="4615" width="7.7109375" style="135" bestFit="1" customWidth="1"/>
    <col min="4616" max="4616" width="7.5703125" style="135" bestFit="1" customWidth="1"/>
    <col min="4617" max="4617" width="2.7109375" style="135" customWidth="1"/>
    <col min="4618" max="4618" width="7.5703125" style="135" bestFit="1" customWidth="1"/>
    <col min="4619" max="4619" width="7.7109375" style="135" bestFit="1" customWidth="1"/>
    <col min="4620" max="4620" width="7.5703125" style="135" bestFit="1" customWidth="1"/>
    <col min="4621" max="4865" width="8.85546875" style="135"/>
    <col min="4866" max="4866" width="20.28515625" style="135" customWidth="1"/>
    <col min="4867" max="4867" width="43.42578125" style="135" bestFit="1" customWidth="1"/>
    <col min="4868" max="4868" width="8.7109375" style="135" customWidth="1"/>
    <col min="4869" max="4869" width="2.7109375" style="135" customWidth="1"/>
    <col min="4870" max="4870" width="9.140625" style="135" bestFit="1" customWidth="1"/>
    <col min="4871" max="4871" width="7.7109375" style="135" bestFit="1" customWidth="1"/>
    <col min="4872" max="4872" width="7.5703125" style="135" bestFit="1" customWidth="1"/>
    <col min="4873" max="4873" width="2.7109375" style="135" customWidth="1"/>
    <col min="4874" max="4874" width="7.5703125" style="135" bestFit="1" customWidth="1"/>
    <col min="4875" max="4875" width="7.7109375" style="135" bestFit="1" customWidth="1"/>
    <col min="4876" max="4876" width="7.5703125" style="135" bestFit="1" customWidth="1"/>
    <col min="4877" max="5121" width="8.85546875" style="135"/>
    <col min="5122" max="5122" width="20.28515625" style="135" customWidth="1"/>
    <col min="5123" max="5123" width="43.42578125" style="135" bestFit="1" customWidth="1"/>
    <col min="5124" max="5124" width="8.7109375" style="135" customWidth="1"/>
    <col min="5125" max="5125" width="2.7109375" style="135" customWidth="1"/>
    <col min="5126" max="5126" width="9.140625" style="135" bestFit="1" customWidth="1"/>
    <col min="5127" max="5127" width="7.7109375" style="135" bestFit="1" customWidth="1"/>
    <col min="5128" max="5128" width="7.5703125" style="135" bestFit="1" customWidth="1"/>
    <col min="5129" max="5129" width="2.7109375" style="135" customWidth="1"/>
    <col min="5130" max="5130" width="7.5703125" style="135" bestFit="1" customWidth="1"/>
    <col min="5131" max="5131" width="7.7109375" style="135" bestFit="1" customWidth="1"/>
    <col min="5132" max="5132" width="7.5703125" style="135" bestFit="1" customWidth="1"/>
    <col min="5133" max="5377" width="8.85546875" style="135"/>
    <col min="5378" max="5378" width="20.28515625" style="135" customWidth="1"/>
    <col min="5379" max="5379" width="43.42578125" style="135" bestFit="1" customWidth="1"/>
    <col min="5380" max="5380" width="8.7109375" style="135" customWidth="1"/>
    <col min="5381" max="5381" width="2.7109375" style="135" customWidth="1"/>
    <col min="5382" max="5382" width="9.140625" style="135" bestFit="1" customWidth="1"/>
    <col min="5383" max="5383" width="7.7109375" style="135" bestFit="1" customWidth="1"/>
    <col min="5384" max="5384" width="7.5703125" style="135" bestFit="1" customWidth="1"/>
    <col min="5385" max="5385" width="2.7109375" style="135" customWidth="1"/>
    <col min="5386" max="5386" width="7.5703125" style="135" bestFit="1" customWidth="1"/>
    <col min="5387" max="5387" width="7.7109375" style="135" bestFit="1" customWidth="1"/>
    <col min="5388" max="5388" width="7.5703125" style="135" bestFit="1" customWidth="1"/>
    <col min="5389" max="5633" width="8.85546875" style="135"/>
    <col min="5634" max="5634" width="20.28515625" style="135" customWidth="1"/>
    <col min="5635" max="5635" width="43.42578125" style="135" bestFit="1" customWidth="1"/>
    <col min="5636" max="5636" width="8.7109375" style="135" customWidth="1"/>
    <col min="5637" max="5637" width="2.7109375" style="135" customWidth="1"/>
    <col min="5638" max="5638" width="9.140625" style="135" bestFit="1" customWidth="1"/>
    <col min="5639" max="5639" width="7.7109375" style="135" bestFit="1" customWidth="1"/>
    <col min="5640" max="5640" width="7.5703125" style="135" bestFit="1" customWidth="1"/>
    <col min="5641" max="5641" width="2.7109375" style="135" customWidth="1"/>
    <col min="5642" max="5642" width="7.5703125" style="135" bestFit="1" customWidth="1"/>
    <col min="5643" max="5643" width="7.7109375" style="135" bestFit="1" customWidth="1"/>
    <col min="5644" max="5644" width="7.5703125" style="135" bestFit="1" customWidth="1"/>
    <col min="5645" max="5889" width="8.85546875" style="135"/>
    <col min="5890" max="5890" width="20.28515625" style="135" customWidth="1"/>
    <col min="5891" max="5891" width="43.42578125" style="135" bestFit="1" customWidth="1"/>
    <col min="5892" max="5892" width="8.7109375" style="135" customWidth="1"/>
    <col min="5893" max="5893" width="2.7109375" style="135" customWidth="1"/>
    <col min="5894" max="5894" width="9.140625" style="135" bestFit="1" customWidth="1"/>
    <col min="5895" max="5895" width="7.7109375" style="135" bestFit="1" customWidth="1"/>
    <col min="5896" max="5896" width="7.5703125" style="135" bestFit="1" customWidth="1"/>
    <col min="5897" max="5897" width="2.7109375" style="135" customWidth="1"/>
    <col min="5898" max="5898" width="7.5703125" style="135" bestFit="1" customWidth="1"/>
    <col min="5899" max="5899" width="7.7109375" style="135" bestFit="1" customWidth="1"/>
    <col min="5900" max="5900" width="7.5703125" style="135" bestFit="1" customWidth="1"/>
    <col min="5901" max="6145" width="8.85546875" style="135"/>
    <col min="6146" max="6146" width="20.28515625" style="135" customWidth="1"/>
    <col min="6147" max="6147" width="43.42578125" style="135" bestFit="1" customWidth="1"/>
    <col min="6148" max="6148" width="8.7109375" style="135" customWidth="1"/>
    <col min="6149" max="6149" width="2.7109375" style="135" customWidth="1"/>
    <col min="6150" max="6150" width="9.140625" style="135" bestFit="1" customWidth="1"/>
    <col min="6151" max="6151" width="7.7109375" style="135" bestFit="1" customWidth="1"/>
    <col min="6152" max="6152" width="7.5703125" style="135" bestFit="1" customWidth="1"/>
    <col min="6153" max="6153" width="2.7109375" style="135" customWidth="1"/>
    <col min="6154" max="6154" width="7.5703125" style="135" bestFit="1" customWidth="1"/>
    <col min="6155" max="6155" width="7.7109375" style="135" bestFit="1" customWidth="1"/>
    <col min="6156" max="6156" width="7.5703125" style="135" bestFit="1" customWidth="1"/>
    <col min="6157" max="6401" width="8.85546875" style="135"/>
    <col min="6402" max="6402" width="20.28515625" style="135" customWidth="1"/>
    <col min="6403" max="6403" width="43.42578125" style="135" bestFit="1" customWidth="1"/>
    <col min="6404" max="6404" width="8.7109375" style="135" customWidth="1"/>
    <col min="6405" max="6405" width="2.7109375" style="135" customWidth="1"/>
    <col min="6406" max="6406" width="9.140625" style="135" bestFit="1" customWidth="1"/>
    <col min="6407" max="6407" width="7.7109375" style="135" bestFit="1" customWidth="1"/>
    <col min="6408" max="6408" width="7.5703125" style="135" bestFit="1" customWidth="1"/>
    <col min="6409" max="6409" width="2.7109375" style="135" customWidth="1"/>
    <col min="6410" max="6410" width="7.5703125" style="135" bestFit="1" customWidth="1"/>
    <col min="6411" max="6411" width="7.7109375" style="135" bestFit="1" customWidth="1"/>
    <col min="6412" max="6412" width="7.5703125" style="135" bestFit="1" customWidth="1"/>
    <col min="6413" max="6657" width="8.85546875" style="135"/>
    <col min="6658" max="6658" width="20.28515625" style="135" customWidth="1"/>
    <col min="6659" max="6659" width="43.42578125" style="135" bestFit="1" customWidth="1"/>
    <col min="6660" max="6660" width="8.7109375" style="135" customWidth="1"/>
    <col min="6661" max="6661" width="2.7109375" style="135" customWidth="1"/>
    <col min="6662" max="6662" width="9.140625" style="135" bestFit="1" customWidth="1"/>
    <col min="6663" max="6663" width="7.7109375" style="135" bestFit="1" customWidth="1"/>
    <col min="6664" max="6664" width="7.5703125" style="135" bestFit="1" customWidth="1"/>
    <col min="6665" max="6665" width="2.7109375" style="135" customWidth="1"/>
    <col min="6666" max="6666" width="7.5703125" style="135" bestFit="1" customWidth="1"/>
    <col min="6667" max="6667" width="7.7109375" style="135" bestFit="1" customWidth="1"/>
    <col min="6668" max="6668" width="7.5703125" style="135" bestFit="1" customWidth="1"/>
    <col min="6669" max="6913" width="8.85546875" style="135"/>
    <col min="6914" max="6914" width="20.28515625" style="135" customWidth="1"/>
    <col min="6915" max="6915" width="43.42578125" style="135" bestFit="1" customWidth="1"/>
    <col min="6916" max="6916" width="8.7109375" style="135" customWidth="1"/>
    <col min="6917" max="6917" width="2.7109375" style="135" customWidth="1"/>
    <col min="6918" max="6918" width="9.140625" style="135" bestFit="1" customWidth="1"/>
    <col min="6919" max="6919" width="7.7109375" style="135" bestFit="1" customWidth="1"/>
    <col min="6920" max="6920" width="7.5703125" style="135" bestFit="1" customWidth="1"/>
    <col min="6921" max="6921" width="2.7109375" style="135" customWidth="1"/>
    <col min="6922" max="6922" width="7.5703125" style="135" bestFit="1" customWidth="1"/>
    <col min="6923" max="6923" width="7.7109375" style="135" bestFit="1" customWidth="1"/>
    <col min="6924" max="6924" width="7.5703125" style="135" bestFit="1" customWidth="1"/>
    <col min="6925" max="7169" width="8.85546875" style="135"/>
    <col min="7170" max="7170" width="20.28515625" style="135" customWidth="1"/>
    <col min="7171" max="7171" width="43.42578125" style="135" bestFit="1" customWidth="1"/>
    <col min="7172" max="7172" width="8.7109375" style="135" customWidth="1"/>
    <col min="7173" max="7173" width="2.7109375" style="135" customWidth="1"/>
    <col min="7174" max="7174" width="9.140625" style="135" bestFit="1" customWidth="1"/>
    <col min="7175" max="7175" width="7.7109375" style="135" bestFit="1" customWidth="1"/>
    <col min="7176" max="7176" width="7.5703125" style="135" bestFit="1" customWidth="1"/>
    <col min="7177" max="7177" width="2.7109375" style="135" customWidth="1"/>
    <col min="7178" max="7178" width="7.5703125" style="135" bestFit="1" customWidth="1"/>
    <col min="7179" max="7179" width="7.7109375" style="135" bestFit="1" customWidth="1"/>
    <col min="7180" max="7180" width="7.5703125" style="135" bestFit="1" customWidth="1"/>
    <col min="7181" max="7425" width="8.85546875" style="135"/>
    <col min="7426" max="7426" width="20.28515625" style="135" customWidth="1"/>
    <col min="7427" max="7427" width="43.42578125" style="135" bestFit="1" customWidth="1"/>
    <col min="7428" max="7428" width="8.7109375" style="135" customWidth="1"/>
    <col min="7429" max="7429" width="2.7109375" style="135" customWidth="1"/>
    <col min="7430" max="7430" width="9.140625" style="135" bestFit="1" customWidth="1"/>
    <col min="7431" max="7431" width="7.7109375" style="135" bestFit="1" customWidth="1"/>
    <col min="7432" max="7432" width="7.5703125" style="135" bestFit="1" customWidth="1"/>
    <col min="7433" max="7433" width="2.7109375" style="135" customWidth="1"/>
    <col min="7434" max="7434" width="7.5703125" style="135" bestFit="1" customWidth="1"/>
    <col min="7435" max="7435" width="7.7109375" style="135" bestFit="1" customWidth="1"/>
    <col min="7436" max="7436" width="7.5703125" style="135" bestFit="1" customWidth="1"/>
    <col min="7437" max="7681" width="8.85546875" style="135"/>
    <col min="7682" max="7682" width="20.28515625" style="135" customWidth="1"/>
    <col min="7683" max="7683" width="43.42578125" style="135" bestFit="1" customWidth="1"/>
    <col min="7684" max="7684" width="8.7109375" style="135" customWidth="1"/>
    <col min="7685" max="7685" width="2.7109375" style="135" customWidth="1"/>
    <col min="7686" max="7686" width="9.140625" style="135" bestFit="1" customWidth="1"/>
    <col min="7687" max="7687" width="7.7109375" style="135" bestFit="1" customWidth="1"/>
    <col min="7688" max="7688" width="7.5703125" style="135" bestFit="1" customWidth="1"/>
    <col min="7689" max="7689" width="2.7109375" style="135" customWidth="1"/>
    <col min="7690" max="7690" width="7.5703125" style="135" bestFit="1" customWidth="1"/>
    <col min="7691" max="7691" width="7.7109375" style="135" bestFit="1" customWidth="1"/>
    <col min="7692" max="7692" width="7.5703125" style="135" bestFit="1" customWidth="1"/>
    <col min="7693" max="7937" width="8.85546875" style="135"/>
    <col min="7938" max="7938" width="20.28515625" style="135" customWidth="1"/>
    <col min="7939" max="7939" width="43.42578125" style="135" bestFit="1" customWidth="1"/>
    <col min="7940" max="7940" width="8.7109375" style="135" customWidth="1"/>
    <col min="7941" max="7941" width="2.7109375" style="135" customWidth="1"/>
    <col min="7942" max="7942" width="9.140625" style="135" bestFit="1" customWidth="1"/>
    <col min="7943" max="7943" width="7.7109375" style="135" bestFit="1" customWidth="1"/>
    <col min="7944" max="7944" width="7.5703125" style="135" bestFit="1" customWidth="1"/>
    <col min="7945" max="7945" width="2.7109375" style="135" customWidth="1"/>
    <col min="7946" max="7946" width="7.5703125" style="135" bestFit="1" customWidth="1"/>
    <col min="7947" max="7947" width="7.7109375" style="135" bestFit="1" customWidth="1"/>
    <col min="7948" max="7948" width="7.5703125" style="135" bestFit="1" customWidth="1"/>
    <col min="7949" max="8193" width="8.85546875" style="135"/>
    <col min="8194" max="8194" width="20.28515625" style="135" customWidth="1"/>
    <col min="8195" max="8195" width="43.42578125" style="135" bestFit="1" customWidth="1"/>
    <col min="8196" max="8196" width="8.7109375" style="135" customWidth="1"/>
    <col min="8197" max="8197" width="2.7109375" style="135" customWidth="1"/>
    <col min="8198" max="8198" width="9.140625" style="135" bestFit="1" customWidth="1"/>
    <col min="8199" max="8199" width="7.7109375" style="135" bestFit="1" customWidth="1"/>
    <col min="8200" max="8200" width="7.5703125" style="135" bestFit="1" customWidth="1"/>
    <col min="8201" max="8201" width="2.7109375" style="135" customWidth="1"/>
    <col min="8202" max="8202" width="7.5703125" style="135" bestFit="1" customWidth="1"/>
    <col min="8203" max="8203" width="7.7109375" style="135" bestFit="1" customWidth="1"/>
    <col min="8204" max="8204" width="7.5703125" style="135" bestFit="1" customWidth="1"/>
    <col min="8205" max="8449" width="8.85546875" style="135"/>
    <col min="8450" max="8450" width="20.28515625" style="135" customWidth="1"/>
    <col min="8451" max="8451" width="43.42578125" style="135" bestFit="1" customWidth="1"/>
    <col min="8452" max="8452" width="8.7109375" style="135" customWidth="1"/>
    <col min="8453" max="8453" width="2.7109375" style="135" customWidth="1"/>
    <col min="8454" max="8454" width="9.140625" style="135" bestFit="1" customWidth="1"/>
    <col min="8455" max="8455" width="7.7109375" style="135" bestFit="1" customWidth="1"/>
    <col min="8456" max="8456" width="7.5703125" style="135" bestFit="1" customWidth="1"/>
    <col min="8457" max="8457" width="2.7109375" style="135" customWidth="1"/>
    <col min="8458" max="8458" width="7.5703125" style="135" bestFit="1" customWidth="1"/>
    <col min="8459" max="8459" width="7.7109375" style="135" bestFit="1" customWidth="1"/>
    <col min="8460" max="8460" width="7.5703125" style="135" bestFit="1" customWidth="1"/>
    <col min="8461" max="8705" width="8.85546875" style="135"/>
    <col min="8706" max="8706" width="20.28515625" style="135" customWidth="1"/>
    <col min="8707" max="8707" width="43.42578125" style="135" bestFit="1" customWidth="1"/>
    <col min="8708" max="8708" width="8.7109375" style="135" customWidth="1"/>
    <col min="8709" max="8709" width="2.7109375" style="135" customWidth="1"/>
    <col min="8710" max="8710" width="9.140625" style="135" bestFit="1" customWidth="1"/>
    <col min="8711" max="8711" width="7.7109375" style="135" bestFit="1" customWidth="1"/>
    <col min="8712" max="8712" width="7.5703125" style="135" bestFit="1" customWidth="1"/>
    <col min="8713" max="8713" width="2.7109375" style="135" customWidth="1"/>
    <col min="8714" max="8714" width="7.5703125" style="135" bestFit="1" customWidth="1"/>
    <col min="8715" max="8715" width="7.7109375" style="135" bestFit="1" customWidth="1"/>
    <col min="8716" max="8716" width="7.5703125" style="135" bestFit="1" customWidth="1"/>
    <col min="8717" max="8961" width="8.85546875" style="135"/>
    <col min="8962" max="8962" width="20.28515625" style="135" customWidth="1"/>
    <col min="8963" max="8963" width="43.42578125" style="135" bestFit="1" customWidth="1"/>
    <col min="8964" max="8964" width="8.7109375" style="135" customWidth="1"/>
    <col min="8965" max="8965" width="2.7109375" style="135" customWidth="1"/>
    <col min="8966" max="8966" width="9.140625" style="135" bestFit="1" customWidth="1"/>
    <col min="8967" max="8967" width="7.7109375" style="135" bestFit="1" customWidth="1"/>
    <col min="8968" max="8968" width="7.5703125" style="135" bestFit="1" customWidth="1"/>
    <col min="8969" max="8969" width="2.7109375" style="135" customWidth="1"/>
    <col min="8970" max="8970" width="7.5703125" style="135" bestFit="1" customWidth="1"/>
    <col min="8971" max="8971" width="7.7109375" style="135" bestFit="1" customWidth="1"/>
    <col min="8972" max="8972" width="7.5703125" style="135" bestFit="1" customWidth="1"/>
    <col min="8973" max="9217" width="8.85546875" style="135"/>
    <col min="9218" max="9218" width="20.28515625" style="135" customWidth="1"/>
    <col min="9219" max="9219" width="43.42578125" style="135" bestFit="1" customWidth="1"/>
    <col min="9220" max="9220" width="8.7109375" style="135" customWidth="1"/>
    <col min="9221" max="9221" width="2.7109375" style="135" customWidth="1"/>
    <col min="9222" max="9222" width="9.140625" style="135" bestFit="1" customWidth="1"/>
    <col min="9223" max="9223" width="7.7109375" style="135" bestFit="1" customWidth="1"/>
    <col min="9224" max="9224" width="7.5703125" style="135" bestFit="1" customWidth="1"/>
    <col min="9225" max="9225" width="2.7109375" style="135" customWidth="1"/>
    <col min="9226" max="9226" width="7.5703125" style="135" bestFit="1" customWidth="1"/>
    <col min="9227" max="9227" width="7.7109375" style="135" bestFit="1" customWidth="1"/>
    <col min="9228" max="9228" width="7.5703125" style="135" bestFit="1" customWidth="1"/>
    <col min="9229" max="9473" width="8.85546875" style="135"/>
    <col min="9474" max="9474" width="20.28515625" style="135" customWidth="1"/>
    <col min="9475" max="9475" width="43.42578125" style="135" bestFit="1" customWidth="1"/>
    <col min="9476" max="9476" width="8.7109375" style="135" customWidth="1"/>
    <col min="9477" max="9477" width="2.7109375" style="135" customWidth="1"/>
    <col min="9478" max="9478" width="9.140625" style="135" bestFit="1" customWidth="1"/>
    <col min="9479" max="9479" width="7.7109375" style="135" bestFit="1" customWidth="1"/>
    <col min="9480" max="9480" width="7.5703125" style="135" bestFit="1" customWidth="1"/>
    <col min="9481" max="9481" width="2.7109375" style="135" customWidth="1"/>
    <col min="9482" max="9482" width="7.5703125" style="135" bestFit="1" customWidth="1"/>
    <col min="9483" max="9483" width="7.7109375" style="135" bestFit="1" customWidth="1"/>
    <col min="9484" max="9484" width="7.5703125" style="135" bestFit="1" customWidth="1"/>
    <col min="9485" max="9729" width="8.85546875" style="135"/>
    <col min="9730" max="9730" width="20.28515625" style="135" customWidth="1"/>
    <col min="9731" max="9731" width="43.42578125" style="135" bestFit="1" customWidth="1"/>
    <col min="9732" max="9732" width="8.7109375" style="135" customWidth="1"/>
    <col min="9733" max="9733" width="2.7109375" style="135" customWidth="1"/>
    <col min="9734" max="9734" width="9.140625" style="135" bestFit="1" customWidth="1"/>
    <col min="9735" max="9735" width="7.7109375" style="135" bestFit="1" customWidth="1"/>
    <col min="9736" max="9736" width="7.5703125" style="135" bestFit="1" customWidth="1"/>
    <col min="9737" max="9737" width="2.7109375" style="135" customWidth="1"/>
    <col min="9738" max="9738" width="7.5703125" style="135" bestFit="1" customWidth="1"/>
    <col min="9739" max="9739" width="7.7109375" style="135" bestFit="1" customWidth="1"/>
    <col min="9740" max="9740" width="7.5703125" style="135" bestFit="1" customWidth="1"/>
    <col min="9741" max="9985" width="8.85546875" style="135"/>
    <col min="9986" max="9986" width="20.28515625" style="135" customWidth="1"/>
    <col min="9987" max="9987" width="43.42578125" style="135" bestFit="1" customWidth="1"/>
    <col min="9988" max="9988" width="8.7109375" style="135" customWidth="1"/>
    <col min="9989" max="9989" width="2.7109375" style="135" customWidth="1"/>
    <col min="9990" max="9990" width="9.140625" style="135" bestFit="1" customWidth="1"/>
    <col min="9991" max="9991" width="7.7109375" style="135" bestFit="1" customWidth="1"/>
    <col min="9992" max="9992" width="7.5703125" style="135" bestFit="1" customWidth="1"/>
    <col min="9993" max="9993" width="2.7109375" style="135" customWidth="1"/>
    <col min="9994" max="9994" width="7.5703125" style="135" bestFit="1" customWidth="1"/>
    <col min="9995" max="9995" width="7.7109375" style="135" bestFit="1" customWidth="1"/>
    <col min="9996" max="9996" width="7.5703125" style="135" bestFit="1" customWidth="1"/>
    <col min="9997" max="10241" width="8.85546875" style="135"/>
    <col min="10242" max="10242" width="20.28515625" style="135" customWidth="1"/>
    <col min="10243" max="10243" width="43.42578125" style="135" bestFit="1" customWidth="1"/>
    <col min="10244" max="10244" width="8.7109375" style="135" customWidth="1"/>
    <col min="10245" max="10245" width="2.7109375" style="135" customWidth="1"/>
    <col min="10246" max="10246" width="9.140625" style="135" bestFit="1" customWidth="1"/>
    <col min="10247" max="10247" width="7.7109375" style="135" bestFit="1" customWidth="1"/>
    <col min="10248" max="10248" width="7.5703125" style="135" bestFit="1" customWidth="1"/>
    <col min="10249" max="10249" width="2.7109375" style="135" customWidth="1"/>
    <col min="10250" max="10250" width="7.5703125" style="135" bestFit="1" customWidth="1"/>
    <col min="10251" max="10251" width="7.7109375" style="135" bestFit="1" customWidth="1"/>
    <col min="10252" max="10252" width="7.5703125" style="135" bestFit="1" customWidth="1"/>
    <col min="10253" max="10497" width="8.85546875" style="135"/>
    <col min="10498" max="10498" width="20.28515625" style="135" customWidth="1"/>
    <col min="10499" max="10499" width="43.42578125" style="135" bestFit="1" customWidth="1"/>
    <col min="10500" max="10500" width="8.7109375" style="135" customWidth="1"/>
    <col min="10501" max="10501" width="2.7109375" style="135" customWidth="1"/>
    <col min="10502" max="10502" width="9.140625" style="135" bestFit="1" customWidth="1"/>
    <col min="10503" max="10503" width="7.7109375" style="135" bestFit="1" customWidth="1"/>
    <col min="10504" max="10504" width="7.5703125" style="135" bestFit="1" customWidth="1"/>
    <col min="10505" max="10505" width="2.7109375" style="135" customWidth="1"/>
    <col min="10506" max="10506" width="7.5703125" style="135" bestFit="1" customWidth="1"/>
    <col min="10507" max="10507" width="7.7109375" style="135" bestFit="1" customWidth="1"/>
    <col min="10508" max="10508" width="7.5703125" style="135" bestFit="1" customWidth="1"/>
    <col min="10509" max="10753" width="8.85546875" style="135"/>
    <col min="10754" max="10754" width="20.28515625" style="135" customWidth="1"/>
    <col min="10755" max="10755" width="43.42578125" style="135" bestFit="1" customWidth="1"/>
    <col min="10756" max="10756" width="8.7109375" style="135" customWidth="1"/>
    <col min="10757" max="10757" width="2.7109375" style="135" customWidth="1"/>
    <col min="10758" max="10758" width="9.140625" style="135" bestFit="1" customWidth="1"/>
    <col min="10759" max="10759" width="7.7109375" style="135" bestFit="1" customWidth="1"/>
    <col min="10760" max="10760" width="7.5703125" style="135" bestFit="1" customWidth="1"/>
    <col min="10761" max="10761" width="2.7109375" style="135" customWidth="1"/>
    <col min="10762" max="10762" width="7.5703125" style="135" bestFit="1" customWidth="1"/>
    <col min="10763" max="10763" width="7.7109375" style="135" bestFit="1" customWidth="1"/>
    <col min="10764" max="10764" width="7.5703125" style="135" bestFit="1" customWidth="1"/>
    <col min="10765" max="11009" width="8.85546875" style="135"/>
    <col min="11010" max="11010" width="20.28515625" style="135" customWidth="1"/>
    <col min="11011" max="11011" width="43.42578125" style="135" bestFit="1" customWidth="1"/>
    <col min="11012" max="11012" width="8.7109375" style="135" customWidth="1"/>
    <col min="11013" max="11013" width="2.7109375" style="135" customWidth="1"/>
    <col min="11014" max="11014" width="9.140625" style="135" bestFit="1" customWidth="1"/>
    <col min="11015" max="11015" width="7.7109375" style="135" bestFit="1" customWidth="1"/>
    <col min="11016" max="11016" width="7.5703125" style="135" bestFit="1" customWidth="1"/>
    <col min="11017" max="11017" width="2.7109375" style="135" customWidth="1"/>
    <col min="11018" max="11018" width="7.5703125" style="135" bestFit="1" customWidth="1"/>
    <col min="11019" max="11019" width="7.7109375" style="135" bestFit="1" customWidth="1"/>
    <col min="11020" max="11020" width="7.5703125" style="135" bestFit="1" customWidth="1"/>
    <col min="11021" max="11265" width="8.85546875" style="135"/>
    <col min="11266" max="11266" width="20.28515625" style="135" customWidth="1"/>
    <col min="11267" max="11267" width="43.42578125" style="135" bestFit="1" customWidth="1"/>
    <col min="11268" max="11268" width="8.7109375" style="135" customWidth="1"/>
    <col min="11269" max="11269" width="2.7109375" style="135" customWidth="1"/>
    <col min="11270" max="11270" width="9.140625" style="135" bestFit="1" customWidth="1"/>
    <col min="11271" max="11271" width="7.7109375" style="135" bestFit="1" customWidth="1"/>
    <col min="11272" max="11272" width="7.5703125" style="135" bestFit="1" customWidth="1"/>
    <col min="11273" max="11273" width="2.7109375" style="135" customWidth="1"/>
    <col min="11274" max="11274" width="7.5703125" style="135" bestFit="1" customWidth="1"/>
    <col min="11275" max="11275" width="7.7109375" style="135" bestFit="1" customWidth="1"/>
    <col min="11276" max="11276" width="7.5703125" style="135" bestFit="1" customWidth="1"/>
    <col min="11277" max="11521" width="8.85546875" style="135"/>
    <col min="11522" max="11522" width="20.28515625" style="135" customWidth="1"/>
    <col min="11523" max="11523" width="43.42578125" style="135" bestFit="1" customWidth="1"/>
    <col min="11524" max="11524" width="8.7109375" style="135" customWidth="1"/>
    <col min="11525" max="11525" width="2.7109375" style="135" customWidth="1"/>
    <col min="11526" max="11526" width="9.140625" style="135" bestFit="1" customWidth="1"/>
    <col min="11527" max="11527" width="7.7109375" style="135" bestFit="1" customWidth="1"/>
    <col min="11528" max="11528" width="7.5703125" style="135" bestFit="1" customWidth="1"/>
    <col min="11529" max="11529" width="2.7109375" style="135" customWidth="1"/>
    <col min="11530" max="11530" width="7.5703125" style="135" bestFit="1" customWidth="1"/>
    <col min="11531" max="11531" width="7.7109375" style="135" bestFit="1" customWidth="1"/>
    <col min="11532" max="11532" width="7.5703125" style="135" bestFit="1" customWidth="1"/>
    <col min="11533" max="11777" width="8.85546875" style="135"/>
    <col min="11778" max="11778" width="20.28515625" style="135" customWidth="1"/>
    <col min="11779" max="11779" width="43.42578125" style="135" bestFit="1" customWidth="1"/>
    <col min="11780" max="11780" width="8.7109375" style="135" customWidth="1"/>
    <col min="11781" max="11781" width="2.7109375" style="135" customWidth="1"/>
    <col min="11782" max="11782" width="9.140625" style="135" bestFit="1" customWidth="1"/>
    <col min="11783" max="11783" width="7.7109375" style="135" bestFit="1" customWidth="1"/>
    <col min="11784" max="11784" width="7.5703125" style="135" bestFit="1" customWidth="1"/>
    <col min="11785" max="11785" width="2.7109375" style="135" customWidth="1"/>
    <col min="11786" max="11786" width="7.5703125" style="135" bestFit="1" customWidth="1"/>
    <col min="11787" max="11787" width="7.7109375" style="135" bestFit="1" customWidth="1"/>
    <col min="11788" max="11788" width="7.5703125" style="135" bestFit="1" customWidth="1"/>
    <col min="11789" max="12033" width="8.85546875" style="135"/>
    <col min="12034" max="12034" width="20.28515625" style="135" customWidth="1"/>
    <col min="12035" max="12035" width="43.42578125" style="135" bestFit="1" customWidth="1"/>
    <col min="12036" max="12036" width="8.7109375" style="135" customWidth="1"/>
    <col min="12037" max="12037" width="2.7109375" style="135" customWidth="1"/>
    <col min="12038" max="12038" width="9.140625" style="135" bestFit="1" customWidth="1"/>
    <col min="12039" max="12039" width="7.7109375" style="135" bestFit="1" customWidth="1"/>
    <col min="12040" max="12040" width="7.5703125" style="135" bestFit="1" customWidth="1"/>
    <col min="12041" max="12041" width="2.7109375" style="135" customWidth="1"/>
    <col min="12042" max="12042" width="7.5703125" style="135" bestFit="1" customWidth="1"/>
    <col min="12043" max="12043" width="7.7109375" style="135" bestFit="1" customWidth="1"/>
    <col min="12044" max="12044" width="7.5703125" style="135" bestFit="1" customWidth="1"/>
    <col min="12045" max="12289" width="8.85546875" style="135"/>
    <col min="12290" max="12290" width="20.28515625" style="135" customWidth="1"/>
    <col min="12291" max="12291" width="43.42578125" style="135" bestFit="1" customWidth="1"/>
    <col min="12292" max="12292" width="8.7109375" style="135" customWidth="1"/>
    <col min="12293" max="12293" width="2.7109375" style="135" customWidth="1"/>
    <col min="12294" max="12294" width="9.140625" style="135" bestFit="1" customWidth="1"/>
    <col min="12295" max="12295" width="7.7109375" style="135" bestFit="1" customWidth="1"/>
    <col min="12296" max="12296" width="7.5703125" style="135" bestFit="1" customWidth="1"/>
    <col min="12297" max="12297" width="2.7109375" style="135" customWidth="1"/>
    <col min="12298" max="12298" width="7.5703125" style="135" bestFit="1" customWidth="1"/>
    <col min="12299" max="12299" width="7.7109375" style="135" bestFit="1" customWidth="1"/>
    <col min="12300" max="12300" width="7.5703125" style="135" bestFit="1" customWidth="1"/>
    <col min="12301" max="12545" width="8.85546875" style="135"/>
    <col min="12546" max="12546" width="20.28515625" style="135" customWidth="1"/>
    <col min="12547" max="12547" width="43.42578125" style="135" bestFit="1" customWidth="1"/>
    <col min="12548" max="12548" width="8.7109375" style="135" customWidth="1"/>
    <col min="12549" max="12549" width="2.7109375" style="135" customWidth="1"/>
    <col min="12550" max="12550" width="9.140625" style="135" bestFit="1" customWidth="1"/>
    <col min="12551" max="12551" width="7.7109375" style="135" bestFit="1" customWidth="1"/>
    <col min="12552" max="12552" width="7.5703125" style="135" bestFit="1" customWidth="1"/>
    <col min="12553" max="12553" width="2.7109375" style="135" customWidth="1"/>
    <col min="12554" max="12554" width="7.5703125" style="135" bestFit="1" customWidth="1"/>
    <col min="12555" max="12555" width="7.7109375" style="135" bestFit="1" customWidth="1"/>
    <col min="12556" max="12556" width="7.5703125" style="135" bestFit="1" customWidth="1"/>
    <col min="12557" max="12801" width="8.85546875" style="135"/>
    <col min="12802" max="12802" width="20.28515625" style="135" customWidth="1"/>
    <col min="12803" max="12803" width="43.42578125" style="135" bestFit="1" customWidth="1"/>
    <col min="12804" max="12804" width="8.7109375" style="135" customWidth="1"/>
    <col min="12805" max="12805" width="2.7109375" style="135" customWidth="1"/>
    <col min="12806" max="12806" width="9.140625" style="135" bestFit="1" customWidth="1"/>
    <col min="12807" max="12807" width="7.7109375" style="135" bestFit="1" customWidth="1"/>
    <col min="12808" max="12808" width="7.5703125" style="135" bestFit="1" customWidth="1"/>
    <col min="12809" max="12809" width="2.7109375" style="135" customWidth="1"/>
    <col min="12810" max="12810" width="7.5703125" style="135" bestFit="1" customWidth="1"/>
    <col min="12811" max="12811" width="7.7109375" style="135" bestFit="1" customWidth="1"/>
    <col min="12812" max="12812" width="7.5703125" style="135" bestFit="1" customWidth="1"/>
    <col min="12813" max="13057" width="8.85546875" style="135"/>
    <col min="13058" max="13058" width="20.28515625" style="135" customWidth="1"/>
    <col min="13059" max="13059" width="43.42578125" style="135" bestFit="1" customWidth="1"/>
    <col min="13060" max="13060" width="8.7109375" style="135" customWidth="1"/>
    <col min="13061" max="13061" width="2.7109375" style="135" customWidth="1"/>
    <col min="13062" max="13062" width="9.140625" style="135" bestFit="1" customWidth="1"/>
    <col min="13063" max="13063" width="7.7109375" style="135" bestFit="1" customWidth="1"/>
    <col min="13064" max="13064" width="7.5703125" style="135" bestFit="1" customWidth="1"/>
    <col min="13065" max="13065" width="2.7109375" style="135" customWidth="1"/>
    <col min="13066" max="13066" width="7.5703125" style="135" bestFit="1" customWidth="1"/>
    <col min="13067" max="13067" width="7.7109375" style="135" bestFit="1" customWidth="1"/>
    <col min="13068" max="13068" width="7.5703125" style="135" bestFit="1" customWidth="1"/>
    <col min="13069" max="13313" width="8.85546875" style="135"/>
    <col min="13314" max="13314" width="20.28515625" style="135" customWidth="1"/>
    <col min="13315" max="13315" width="43.42578125" style="135" bestFit="1" customWidth="1"/>
    <col min="13316" max="13316" width="8.7109375" style="135" customWidth="1"/>
    <col min="13317" max="13317" width="2.7109375" style="135" customWidth="1"/>
    <col min="13318" max="13318" width="9.140625" style="135" bestFit="1" customWidth="1"/>
    <col min="13319" max="13319" width="7.7109375" style="135" bestFit="1" customWidth="1"/>
    <col min="13320" max="13320" width="7.5703125" style="135" bestFit="1" customWidth="1"/>
    <col min="13321" max="13321" width="2.7109375" style="135" customWidth="1"/>
    <col min="13322" max="13322" width="7.5703125" style="135" bestFit="1" customWidth="1"/>
    <col min="13323" max="13323" width="7.7109375" style="135" bestFit="1" customWidth="1"/>
    <col min="13324" max="13324" width="7.5703125" style="135" bestFit="1" customWidth="1"/>
    <col min="13325" max="13569" width="8.85546875" style="135"/>
    <col min="13570" max="13570" width="20.28515625" style="135" customWidth="1"/>
    <col min="13571" max="13571" width="43.42578125" style="135" bestFit="1" customWidth="1"/>
    <col min="13572" max="13572" width="8.7109375" style="135" customWidth="1"/>
    <col min="13573" max="13573" width="2.7109375" style="135" customWidth="1"/>
    <col min="13574" max="13574" width="9.140625" style="135" bestFit="1" customWidth="1"/>
    <col min="13575" max="13575" width="7.7109375" style="135" bestFit="1" customWidth="1"/>
    <col min="13576" max="13576" width="7.5703125" style="135" bestFit="1" customWidth="1"/>
    <col min="13577" max="13577" width="2.7109375" style="135" customWidth="1"/>
    <col min="13578" max="13578" width="7.5703125" style="135" bestFit="1" customWidth="1"/>
    <col min="13579" max="13579" width="7.7109375" style="135" bestFit="1" customWidth="1"/>
    <col min="13580" max="13580" width="7.5703125" style="135" bestFit="1" customWidth="1"/>
    <col min="13581" max="13825" width="8.85546875" style="135"/>
    <col min="13826" max="13826" width="20.28515625" style="135" customWidth="1"/>
    <col min="13827" max="13827" width="43.42578125" style="135" bestFit="1" customWidth="1"/>
    <col min="13828" max="13828" width="8.7109375" style="135" customWidth="1"/>
    <col min="13829" max="13829" width="2.7109375" style="135" customWidth="1"/>
    <col min="13830" max="13830" width="9.140625" style="135" bestFit="1" customWidth="1"/>
    <col min="13831" max="13831" width="7.7109375" style="135" bestFit="1" customWidth="1"/>
    <col min="13832" max="13832" width="7.5703125" style="135" bestFit="1" customWidth="1"/>
    <col min="13833" max="13833" width="2.7109375" style="135" customWidth="1"/>
    <col min="13834" max="13834" width="7.5703125" style="135" bestFit="1" customWidth="1"/>
    <col min="13835" max="13835" width="7.7109375" style="135" bestFit="1" customWidth="1"/>
    <col min="13836" max="13836" width="7.5703125" style="135" bestFit="1" customWidth="1"/>
    <col min="13837" max="14081" width="8.85546875" style="135"/>
    <col min="14082" max="14082" width="20.28515625" style="135" customWidth="1"/>
    <col min="14083" max="14083" width="43.42578125" style="135" bestFit="1" customWidth="1"/>
    <col min="14084" max="14084" width="8.7109375" style="135" customWidth="1"/>
    <col min="14085" max="14085" width="2.7109375" style="135" customWidth="1"/>
    <col min="14086" max="14086" width="9.140625" style="135" bestFit="1" customWidth="1"/>
    <col min="14087" max="14087" width="7.7109375" style="135" bestFit="1" customWidth="1"/>
    <col min="14088" max="14088" width="7.5703125" style="135" bestFit="1" customWidth="1"/>
    <col min="14089" max="14089" width="2.7109375" style="135" customWidth="1"/>
    <col min="14090" max="14090" width="7.5703125" style="135" bestFit="1" customWidth="1"/>
    <col min="14091" max="14091" width="7.7109375" style="135" bestFit="1" customWidth="1"/>
    <col min="14092" max="14092" width="7.5703125" style="135" bestFit="1" customWidth="1"/>
    <col min="14093" max="14337" width="8.85546875" style="135"/>
    <col min="14338" max="14338" width="20.28515625" style="135" customWidth="1"/>
    <col min="14339" max="14339" width="43.42578125" style="135" bestFit="1" customWidth="1"/>
    <col min="14340" max="14340" width="8.7109375" style="135" customWidth="1"/>
    <col min="14341" max="14341" width="2.7109375" style="135" customWidth="1"/>
    <col min="14342" max="14342" width="9.140625" style="135" bestFit="1" customWidth="1"/>
    <col min="14343" max="14343" width="7.7109375" style="135" bestFit="1" customWidth="1"/>
    <col min="14344" max="14344" width="7.5703125" style="135" bestFit="1" customWidth="1"/>
    <col min="14345" max="14345" width="2.7109375" style="135" customWidth="1"/>
    <col min="14346" max="14346" width="7.5703125" style="135" bestFit="1" customWidth="1"/>
    <col min="14347" max="14347" width="7.7109375" style="135" bestFit="1" customWidth="1"/>
    <col min="14348" max="14348" width="7.5703125" style="135" bestFit="1" customWidth="1"/>
    <col min="14349" max="14593" width="8.85546875" style="135"/>
    <col min="14594" max="14594" width="20.28515625" style="135" customWidth="1"/>
    <col min="14595" max="14595" width="43.42578125" style="135" bestFit="1" customWidth="1"/>
    <col min="14596" max="14596" width="8.7109375" style="135" customWidth="1"/>
    <col min="14597" max="14597" width="2.7109375" style="135" customWidth="1"/>
    <col min="14598" max="14598" width="9.140625" style="135" bestFit="1" customWidth="1"/>
    <col min="14599" max="14599" width="7.7109375" style="135" bestFit="1" customWidth="1"/>
    <col min="14600" max="14600" width="7.5703125" style="135" bestFit="1" customWidth="1"/>
    <col min="14601" max="14601" width="2.7109375" style="135" customWidth="1"/>
    <col min="14602" max="14602" width="7.5703125" style="135" bestFit="1" customWidth="1"/>
    <col min="14603" max="14603" width="7.7109375" style="135" bestFit="1" customWidth="1"/>
    <col min="14604" max="14604" width="7.5703125" style="135" bestFit="1" customWidth="1"/>
    <col min="14605" max="14849" width="8.85546875" style="135"/>
    <col min="14850" max="14850" width="20.28515625" style="135" customWidth="1"/>
    <col min="14851" max="14851" width="43.42578125" style="135" bestFit="1" customWidth="1"/>
    <col min="14852" max="14852" width="8.7109375" style="135" customWidth="1"/>
    <col min="14853" max="14853" width="2.7109375" style="135" customWidth="1"/>
    <col min="14854" max="14854" width="9.140625" style="135" bestFit="1" customWidth="1"/>
    <col min="14855" max="14855" width="7.7109375" style="135" bestFit="1" customWidth="1"/>
    <col min="14856" max="14856" width="7.5703125" style="135" bestFit="1" customWidth="1"/>
    <col min="14857" max="14857" width="2.7109375" style="135" customWidth="1"/>
    <col min="14858" max="14858" width="7.5703125" style="135" bestFit="1" customWidth="1"/>
    <col min="14859" max="14859" width="7.7109375" style="135" bestFit="1" customWidth="1"/>
    <col min="14860" max="14860" width="7.5703125" style="135" bestFit="1" customWidth="1"/>
    <col min="14861" max="15105" width="8.85546875" style="135"/>
    <col min="15106" max="15106" width="20.28515625" style="135" customWidth="1"/>
    <col min="15107" max="15107" width="43.42578125" style="135" bestFit="1" customWidth="1"/>
    <col min="15108" max="15108" width="8.7109375" style="135" customWidth="1"/>
    <col min="15109" max="15109" width="2.7109375" style="135" customWidth="1"/>
    <col min="15110" max="15110" width="9.140625" style="135" bestFit="1" customWidth="1"/>
    <col min="15111" max="15111" width="7.7109375" style="135" bestFit="1" customWidth="1"/>
    <col min="15112" max="15112" width="7.5703125" style="135" bestFit="1" customWidth="1"/>
    <col min="15113" max="15113" width="2.7109375" style="135" customWidth="1"/>
    <col min="15114" max="15114" width="7.5703125" style="135" bestFit="1" customWidth="1"/>
    <col min="15115" max="15115" width="7.7109375" style="135" bestFit="1" customWidth="1"/>
    <col min="15116" max="15116" width="7.5703125" style="135" bestFit="1" customWidth="1"/>
    <col min="15117" max="15361" width="8.85546875" style="135"/>
    <col min="15362" max="15362" width="20.28515625" style="135" customWidth="1"/>
    <col min="15363" max="15363" width="43.42578125" style="135" bestFit="1" customWidth="1"/>
    <col min="15364" max="15364" width="8.7109375" style="135" customWidth="1"/>
    <col min="15365" max="15365" width="2.7109375" style="135" customWidth="1"/>
    <col min="15366" max="15366" width="9.140625" style="135" bestFit="1" customWidth="1"/>
    <col min="15367" max="15367" width="7.7109375" style="135" bestFit="1" customWidth="1"/>
    <col min="15368" max="15368" width="7.5703125" style="135" bestFit="1" customWidth="1"/>
    <col min="15369" max="15369" width="2.7109375" style="135" customWidth="1"/>
    <col min="15370" max="15370" width="7.5703125" style="135" bestFit="1" customWidth="1"/>
    <col min="15371" max="15371" width="7.7109375" style="135" bestFit="1" customWidth="1"/>
    <col min="15372" max="15372" width="7.5703125" style="135" bestFit="1" customWidth="1"/>
    <col min="15373" max="15617" width="8.85546875" style="135"/>
    <col min="15618" max="15618" width="20.28515625" style="135" customWidth="1"/>
    <col min="15619" max="15619" width="43.42578125" style="135" bestFit="1" customWidth="1"/>
    <col min="15620" max="15620" width="8.7109375" style="135" customWidth="1"/>
    <col min="15621" max="15621" width="2.7109375" style="135" customWidth="1"/>
    <col min="15622" max="15622" width="9.140625" style="135" bestFit="1" customWidth="1"/>
    <col min="15623" max="15623" width="7.7109375" style="135" bestFit="1" customWidth="1"/>
    <col min="15624" max="15624" width="7.5703125" style="135" bestFit="1" customWidth="1"/>
    <col min="15625" max="15625" width="2.7109375" style="135" customWidth="1"/>
    <col min="15626" max="15626" width="7.5703125" style="135" bestFit="1" customWidth="1"/>
    <col min="15627" max="15627" width="7.7109375" style="135" bestFit="1" customWidth="1"/>
    <col min="15628" max="15628" width="7.5703125" style="135" bestFit="1" customWidth="1"/>
    <col min="15629" max="15873" width="8.85546875" style="135"/>
    <col min="15874" max="15874" width="20.28515625" style="135" customWidth="1"/>
    <col min="15875" max="15875" width="43.42578125" style="135" bestFit="1" customWidth="1"/>
    <col min="15876" max="15876" width="8.7109375" style="135" customWidth="1"/>
    <col min="15877" max="15877" width="2.7109375" style="135" customWidth="1"/>
    <col min="15878" max="15878" width="9.140625" style="135" bestFit="1" customWidth="1"/>
    <col min="15879" max="15879" width="7.7109375" style="135" bestFit="1" customWidth="1"/>
    <col min="15880" max="15880" width="7.5703125" style="135" bestFit="1" customWidth="1"/>
    <col min="15881" max="15881" width="2.7109375" style="135" customWidth="1"/>
    <col min="15882" max="15882" width="7.5703125" style="135" bestFit="1" customWidth="1"/>
    <col min="15883" max="15883" width="7.7109375" style="135" bestFit="1" customWidth="1"/>
    <col min="15884" max="15884" width="7.5703125" style="135" bestFit="1" customWidth="1"/>
    <col min="15885" max="16129" width="8.85546875" style="135"/>
    <col min="16130" max="16130" width="20.28515625" style="135" customWidth="1"/>
    <col min="16131" max="16131" width="43.42578125" style="135" bestFit="1" customWidth="1"/>
    <col min="16132" max="16132" width="8.7109375" style="135" customWidth="1"/>
    <col min="16133" max="16133" width="2.7109375" style="135" customWidth="1"/>
    <col min="16134" max="16134" width="9.140625" style="135" bestFit="1" customWidth="1"/>
    <col min="16135" max="16135" width="7.7109375" style="135" bestFit="1" customWidth="1"/>
    <col min="16136" max="16136" width="7.5703125" style="135" bestFit="1" customWidth="1"/>
    <col min="16137" max="16137" width="2.7109375" style="135" customWidth="1"/>
    <col min="16138" max="16138" width="7.5703125" style="135" bestFit="1" customWidth="1"/>
    <col min="16139" max="16139" width="7.7109375" style="135" bestFit="1" customWidth="1"/>
    <col min="16140" max="16140" width="7.5703125" style="135" bestFit="1" customWidth="1"/>
    <col min="16141" max="16384" width="8.85546875" style="135"/>
  </cols>
  <sheetData>
    <row r="1" spans="1:52" ht="28.5" x14ac:dyDescent="0.45">
      <c r="A1" s="109" t="s">
        <v>91</v>
      </c>
    </row>
    <row r="2" spans="1:52" ht="15.75" x14ac:dyDescent="0.25">
      <c r="A2" s="229" t="s">
        <v>92</v>
      </c>
      <c r="B2" s="229" t="s">
        <v>93</v>
      </c>
      <c r="C2" s="229" t="s">
        <v>2</v>
      </c>
      <c r="D2" s="229" t="s">
        <v>94</v>
      </c>
      <c r="F2" s="226" t="s">
        <v>95</v>
      </c>
      <c r="G2" s="227"/>
      <c r="H2" s="228"/>
      <c r="J2" s="226" t="s">
        <v>96</v>
      </c>
      <c r="K2" s="227"/>
      <c r="L2" s="228"/>
      <c r="N2" s="226" t="s">
        <v>525</v>
      </c>
      <c r="O2" s="227"/>
      <c r="P2" s="228"/>
      <c r="R2" s="226" t="s">
        <v>530</v>
      </c>
      <c r="S2" s="227"/>
      <c r="T2" s="228"/>
      <c r="V2" s="226" t="s">
        <v>38</v>
      </c>
      <c r="W2" s="227"/>
      <c r="X2" s="228"/>
      <c r="Z2" s="226" t="s">
        <v>609</v>
      </c>
      <c r="AA2" s="227"/>
      <c r="AB2" s="228"/>
      <c r="AD2" s="226" t="s">
        <v>644</v>
      </c>
      <c r="AE2" s="227"/>
      <c r="AF2" s="228"/>
      <c r="AH2" s="226" t="s">
        <v>665</v>
      </c>
      <c r="AI2" s="227"/>
      <c r="AJ2" s="228"/>
      <c r="AL2" s="226" t="s">
        <v>666</v>
      </c>
      <c r="AM2" s="227"/>
      <c r="AN2" s="228"/>
      <c r="AP2" s="226" t="s">
        <v>667</v>
      </c>
      <c r="AQ2" s="227"/>
      <c r="AR2" s="228"/>
      <c r="AT2" s="226" t="s">
        <v>668</v>
      </c>
      <c r="AU2" s="227"/>
      <c r="AV2" s="228"/>
      <c r="AX2" s="226" t="s">
        <v>670</v>
      </c>
      <c r="AY2" s="227"/>
      <c r="AZ2" s="228"/>
    </row>
    <row r="3" spans="1:52" s="136" customFormat="1" ht="15.75" x14ac:dyDescent="0.25">
      <c r="A3" s="229"/>
      <c r="B3" s="229"/>
      <c r="C3" s="229"/>
      <c r="D3" s="229"/>
      <c r="E3" s="134"/>
      <c r="F3" s="119" t="s">
        <v>61</v>
      </c>
      <c r="G3" s="119" t="s">
        <v>62</v>
      </c>
      <c r="H3" s="119" t="s">
        <v>63</v>
      </c>
      <c r="I3" s="134"/>
      <c r="J3" s="119" t="s">
        <v>61</v>
      </c>
      <c r="K3" s="119" t="s">
        <v>62</v>
      </c>
      <c r="L3" s="119" t="s">
        <v>63</v>
      </c>
      <c r="M3" s="134"/>
      <c r="N3" s="119" t="s">
        <v>61</v>
      </c>
      <c r="O3" s="119" t="s">
        <v>62</v>
      </c>
      <c r="P3" s="119" t="s">
        <v>63</v>
      </c>
      <c r="Q3" s="134"/>
      <c r="R3" s="119" t="s">
        <v>61</v>
      </c>
      <c r="S3" s="119" t="s">
        <v>62</v>
      </c>
      <c r="T3" s="119" t="s">
        <v>63</v>
      </c>
      <c r="U3" s="134"/>
      <c r="V3" s="119" t="s">
        <v>61</v>
      </c>
      <c r="W3" s="119" t="s">
        <v>62</v>
      </c>
      <c r="X3" s="119" t="s">
        <v>63</v>
      </c>
      <c r="Z3" s="119" t="s">
        <v>61</v>
      </c>
      <c r="AA3" s="119" t="s">
        <v>62</v>
      </c>
      <c r="AB3" s="119" t="s">
        <v>63</v>
      </c>
      <c r="AD3" s="119" t="s">
        <v>61</v>
      </c>
      <c r="AE3" s="119" t="s">
        <v>62</v>
      </c>
      <c r="AF3" s="119" t="s">
        <v>63</v>
      </c>
      <c r="AH3" s="119" t="s">
        <v>61</v>
      </c>
      <c r="AI3" s="119" t="s">
        <v>62</v>
      </c>
      <c r="AJ3" s="119" t="s">
        <v>63</v>
      </c>
      <c r="AL3" s="119" t="s">
        <v>61</v>
      </c>
      <c r="AM3" s="119" t="s">
        <v>62</v>
      </c>
      <c r="AN3" s="119" t="s">
        <v>63</v>
      </c>
      <c r="AP3" s="119" t="s">
        <v>61</v>
      </c>
      <c r="AQ3" s="119" t="s">
        <v>62</v>
      </c>
      <c r="AR3" s="119" t="s">
        <v>63</v>
      </c>
      <c r="AT3" s="119" t="s">
        <v>61</v>
      </c>
      <c r="AU3" s="119" t="s">
        <v>62</v>
      </c>
      <c r="AV3" s="119" t="s">
        <v>63</v>
      </c>
      <c r="AX3" s="119" t="s">
        <v>61</v>
      </c>
      <c r="AY3" s="119" t="s">
        <v>62</v>
      </c>
      <c r="AZ3" s="119" t="s">
        <v>63</v>
      </c>
    </row>
    <row r="4" spans="1:52" x14ac:dyDescent="0.25">
      <c r="A4" s="112"/>
      <c r="B4" s="112"/>
      <c r="C4" s="112"/>
      <c r="D4" s="112"/>
    </row>
    <row r="5" spans="1:52" x14ac:dyDescent="0.25">
      <c r="A5" s="113">
        <v>1</v>
      </c>
      <c r="B5" s="114" t="s">
        <v>414</v>
      </c>
      <c r="C5" s="114" t="s">
        <v>415</v>
      </c>
      <c r="D5" s="113" t="s">
        <v>71</v>
      </c>
      <c r="F5" s="115">
        <v>0</v>
      </c>
      <c r="G5" s="115">
        <v>0</v>
      </c>
      <c r="H5" s="115">
        <v>4</v>
      </c>
      <c r="J5" s="115"/>
      <c r="K5" s="115"/>
      <c r="L5" s="115"/>
      <c r="N5" s="115"/>
      <c r="O5" s="115"/>
      <c r="P5" s="115"/>
      <c r="R5" s="115"/>
      <c r="S5" s="115"/>
      <c r="T5" s="115"/>
      <c r="V5" s="115"/>
      <c r="W5" s="115"/>
      <c r="X5" s="115"/>
      <c r="Z5" s="169"/>
      <c r="AA5" s="169"/>
      <c r="AB5" s="169"/>
      <c r="AC5" s="135">
        <v>4</v>
      </c>
      <c r="AD5" s="169"/>
      <c r="AE5" s="169"/>
      <c r="AF5" s="169"/>
      <c r="AH5" s="169"/>
      <c r="AI5" s="169"/>
      <c r="AJ5" s="169"/>
      <c r="AL5" s="169"/>
      <c r="AM5" s="169"/>
      <c r="AN5" s="169"/>
      <c r="AP5" s="169"/>
      <c r="AQ5" s="169"/>
      <c r="AR5" s="169"/>
      <c r="AT5" s="169"/>
      <c r="AU5" s="169"/>
      <c r="AV5" s="169"/>
      <c r="AX5" s="169"/>
      <c r="AY5" s="169"/>
      <c r="AZ5" s="169"/>
    </row>
    <row r="6" spans="1:52" x14ac:dyDescent="0.25">
      <c r="A6" s="113">
        <v>2</v>
      </c>
      <c r="B6" s="114" t="s">
        <v>416</v>
      </c>
      <c r="C6" s="114" t="s">
        <v>417</v>
      </c>
      <c r="D6" s="113" t="s">
        <v>71</v>
      </c>
      <c r="F6" s="114">
        <v>600</v>
      </c>
      <c r="G6" s="114">
        <v>0</v>
      </c>
      <c r="H6" s="114">
        <v>0</v>
      </c>
      <c r="J6" s="114">
        <v>900</v>
      </c>
      <c r="K6" s="114">
        <v>0</v>
      </c>
      <c r="L6" s="114">
        <v>0</v>
      </c>
      <c r="N6" s="114">
        <v>840</v>
      </c>
      <c r="O6" s="114">
        <v>0</v>
      </c>
      <c r="P6" s="114">
        <v>0</v>
      </c>
      <c r="R6" s="114">
        <v>600</v>
      </c>
      <c r="S6" s="114">
        <v>0</v>
      </c>
      <c r="T6" s="114">
        <v>0</v>
      </c>
      <c r="V6" s="114">
        <v>780</v>
      </c>
      <c r="W6" s="114">
        <v>0</v>
      </c>
      <c r="X6" s="114">
        <v>0</v>
      </c>
      <c r="Z6" s="169">
        <v>840</v>
      </c>
      <c r="AA6" s="169">
        <v>0</v>
      </c>
      <c r="AB6" s="169">
        <v>0</v>
      </c>
      <c r="AC6" s="135">
        <v>4</v>
      </c>
      <c r="AD6" s="169">
        <f>VLOOKUP(B6,[4]PCS!$Y$1:$Z$65536,2,0)</f>
        <v>1200</v>
      </c>
      <c r="AE6" s="169">
        <f>VLOOKUP(B6,[4]PCS!$Y$1:$AA$65536,3,0)</f>
        <v>0</v>
      </c>
      <c r="AF6" s="169">
        <f>VLOOKUP(B6,[4]PCS!$Y$1:$AB$65536,4,0)</f>
        <v>0</v>
      </c>
      <c r="AH6" s="169"/>
      <c r="AI6" s="169"/>
      <c r="AJ6" s="169"/>
      <c r="AL6" s="169"/>
      <c r="AM6" s="169"/>
      <c r="AN6" s="169"/>
      <c r="AP6" s="169"/>
      <c r="AQ6" s="169"/>
      <c r="AR6" s="169"/>
      <c r="AT6" s="169"/>
      <c r="AU6" s="169"/>
      <c r="AV6" s="169"/>
      <c r="AX6" s="169"/>
      <c r="AY6" s="169"/>
      <c r="AZ6" s="169"/>
    </row>
    <row r="7" spans="1:52" x14ac:dyDescent="0.25">
      <c r="A7" s="113">
        <v>3</v>
      </c>
      <c r="B7" s="114" t="s">
        <v>418</v>
      </c>
      <c r="C7" s="114" t="s">
        <v>417</v>
      </c>
      <c r="D7" s="113" t="s">
        <v>71</v>
      </c>
      <c r="F7" s="115">
        <v>600</v>
      </c>
      <c r="G7" s="115">
        <v>0</v>
      </c>
      <c r="H7" s="115">
        <v>0</v>
      </c>
      <c r="J7" s="115"/>
      <c r="K7" s="115"/>
      <c r="L7" s="115"/>
      <c r="N7" s="115"/>
      <c r="O7" s="115"/>
      <c r="P7" s="115"/>
      <c r="R7" s="115">
        <v>600</v>
      </c>
      <c r="S7" s="115">
        <v>0</v>
      </c>
      <c r="T7" s="115">
        <v>0</v>
      </c>
      <c r="V7" s="115"/>
      <c r="W7" s="115"/>
      <c r="X7" s="115"/>
      <c r="Z7" s="169"/>
      <c r="AA7" s="169"/>
      <c r="AB7" s="169"/>
      <c r="AC7" s="135">
        <v>4</v>
      </c>
      <c r="AD7" s="169"/>
      <c r="AE7" s="169"/>
      <c r="AF7" s="169"/>
      <c r="AH7" s="169"/>
      <c r="AI7" s="169"/>
      <c r="AJ7" s="169"/>
      <c r="AL7" s="169"/>
      <c r="AM7" s="169"/>
      <c r="AN7" s="169"/>
      <c r="AP7" s="169"/>
      <c r="AQ7" s="169"/>
      <c r="AR7" s="169"/>
      <c r="AT7" s="169"/>
      <c r="AU7" s="169"/>
      <c r="AV7" s="169"/>
      <c r="AX7" s="169"/>
      <c r="AY7" s="169"/>
      <c r="AZ7" s="169"/>
    </row>
    <row r="8" spans="1:52" x14ac:dyDescent="0.25">
      <c r="A8" s="113">
        <v>4</v>
      </c>
      <c r="B8" s="114" t="s">
        <v>419</v>
      </c>
      <c r="C8" s="114" t="s">
        <v>420</v>
      </c>
      <c r="D8" s="113" t="s">
        <v>71</v>
      </c>
      <c r="F8" s="114">
        <v>660</v>
      </c>
      <c r="G8" s="114">
        <v>0</v>
      </c>
      <c r="H8" s="114">
        <v>0</v>
      </c>
      <c r="J8" s="114">
        <v>900</v>
      </c>
      <c r="K8" s="114">
        <v>0</v>
      </c>
      <c r="L8" s="114">
        <v>0</v>
      </c>
      <c r="N8" s="114">
        <v>840</v>
      </c>
      <c r="O8" s="114">
        <v>0</v>
      </c>
      <c r="P8" s="114">
        <v>0</v>
      </c>
      <c r="R8" s="114">
        <v>600</v>
      </c>
      <c r="S8" s="114">
        <v>0</v>
      </c>
      <c r="T8" s="114">
        <v>0</v>
      </c>
      <c r="V8" s="114">
        <v>1080</v>
      </c>
      <c r="W8" s="114">
        <v>0</v>
      </c>
      <c r="X8" s="114">
        <v>0</v>
      </c>
      <c r="Z8" s="169">
        <v>948</v>
      </c>
      <c r="AA8" s="169">
        <v>0</v>
      </c>
      <c r="AB8" s="169">
        <v>0</v>
      </c>
      <c r="AC8" s="135">
        <v>4</v>
      </c>
      <c r="AD8" s="169">
        <f>VLOOKUP(B8,[4]PCS!$Y$1:$Z$65536,2,0)</f>
        <v>1200</v>
      </c>
      <c r="AE8" s="169">
        <f>VLOOKUP(B8,[4]PCS!$Y$1:$AA$65536,3,0)</f>
        <v>0</v>
      </c>
      <c r="AF8" s="169">
        <f>VLOOKUP(B8,[4]PCS!$Y$1:$AB$65536,4,0)</f>
        <v>0</v>
      </c>
      <c r="AH8" s="169"/>
      <c r="AI8" s="169"/>
      <c r="AJ8" s="169"/>
      <c r="AL8" s="169"/>
      <c r="AM8" s="169"/>
      <c r="AN8" s="169"/>
      <c r="AP8" s="169"/>
      <c r="AQ8" s="169"/>
      <c r="AR8" s="169"/>
      <c r="AT8" s="169"/>
      <c r="AU8" s="169"/>
      <c r="AV8" s="169"/>
      <c r="AX8" s="169"/>
      <c r="AY8" s="169"/>
      <c r="AZ8" s="169"/>
    </row>
    <row r="9" spans="1:52" x14ac:dyDescent="0.25">
      <c r="A9" s="113">
        <v>5</v>
      </c>
      <c r="B9" s="114" t="s">
        <v>421</v>
      </c>
      <c r="C9" s="114" t="s">
        <v>422</v>
      </c>
      <c r="D9" s="113" t="s">
        <v>71</v>
      </c>
      <c r="F9" s="114">
        <v>660</v>
      </c>
      <c r="G9" s="114">
        <v>0</v>
      </c>
      <c r="H9" s="114">
        <v>0</v>
      </c>
      <c r="J9" s="114">
        <v>900</v>
      </c>
      <c r="K9" s="114">
        <v>0</v>
      </c>
      <c r="L9" s="114">
        <v>0</v>
      </c>
      <c r="N9" s="114">
        <v>840</v>
      </c>
      <c r="O9" s="114">
        <v>0</v>
      </c>
      <c r="P9" s="114">
        <v>0</v>
      </c>
      <c r="R9" s="114">
        <v>600</v>
      </c>
      <c r="S9" s="114">
        <v>0</v>
      </c>
      <c r="T9" s="114">
        <v>0</v>
      </c>
      <c r="V9" s="114">
        <v>1080</v>
      </c>
      <c r="W9" s="114">
        <v>0</v>
      </c>
      <c r="X9" s="114">
        <v>0</v>
      </c>
      <c r="Z9" s="169">
        <v>948</v>
      </c>
      <c r="AA9" s="169">
        <v>0</v>
      </c>
      <c r="AB9" s="169">
        <v>0</v>
      </c>
      <c r="AC9" s="135">
        <v>4</v>
      </c>
      <c r="AD9" s="169">
        <f>VLOOKUP(B9,[4]PCS!$Y$1:$Z$65536,2,0)</f>
        <v>1200</v>
      </c>
      <c r="AE9" s="169">
        <f>VLOOKUP(B9,[4]PCS!$Y$1:$AA$65536,3,0)</f>
        <v>0</v>
      </c>
      <c r="AF9" s="169">
        <f>VLOOKUP(B9,[4]PCS!$Y$1:$AB$65536,4,0)</f>
        <v>0</v>
      </c>
      <c r="AH9" s="169"/>
      <c r="AI9" s="169"/>
      <c r="AJ9" s="169"/>
      <c r="AL9" s="169"/>
      <c r="AM9" s="169"/>
      <c r="AN9" s="169"/>
      <c r="AP9" s="169"/>
      <c r="AQ9" s="169"/>
      <c r="AR9" s="169"/>
      <c r="AT9" s="169"/>
      <c r="AU9" s="169"/>
      <c r="AV9" s="169"/>
      <c r="AX9" s="169"/>
      <c r="AY9" s="169"/>
      <c r="AZ9" s="169"/>
    </row>
    <row r="10" spans="1:52" x14ac:dyDescent="0.25">
      <c r="A10" s="113">
        <v>6</v>
      </c>
      <c r="B10" s="114" t="s">
        <v>423</v>
      </c>
      <c r="C10" s="114" t="s">
        <v>424</v>
      </c>
      <c r="D10" s="113" t="s">
        <v>71</v>
      </c>
      <c r="F10" s="114">
        <v>744</v>
      </c>
      <c r="G10" s="114">
        <v>0</v>
      </c>
      <c r="H10" s="114">
        <v>0</v>
      </c>
      <c r="J10" s="114">
        <v>540</v>
      </c>
      <c r="K10" s="114">
        <v>0</v>
      </c>
      <c r="L10" s="114">
        <v>0</v>
      </c>
      <c r="N10" s="114">
        <v>660</v>
      </c>
      <c r="O10" s="114">
        <v>0</v>
      </c>
      <c r="P10" s="114">
        <v>0</v>
      </c>
      <c r="R10" s="114">
        <v>600</v>
      </c>
      <c r="S10" s="114">
        <v>0</v>
      </c>
      <c r="T10" s="114">
        <v>0</v>
      </c>
      <c r="V10" s="114">
        <v>720</v>
      </c>
      <c r="W10" s="114">
        <v>0</v>
      </c>
      <c r="X10" s="114">
        <v>0</v>
      </c>
      <c r="Z10" s="169">
        <v>660</v>
      </c>
      <c r="AA10" s="169">
        <v>0</v>
      </c>
      <c r="AB10" s="169">
        <v>0</v>
      </c>
      <c r="AC10" s="135">
        <v>4</v>
      </c>
      <c r="AD10" s="169">
        <f>VLOOKUP(B10,[4]PCS!$Y$1:$Z$65536,2,0)</f>
        <v>644</v>
      </c>
      <c r="AE10" s="169">
        <f>VLOOKUP(B10,[4]PCS!$Y$1:$AA$65536,3,0)</f>
        <v>0</v>
      </c>
      <c r="AF10" s="169">
        <f>VLOOKUP(B10,[4]PCS!$Y$1:$AB$65536,4,0)</f>
        <v>0</v>
      </c>
      <c r="AH10" s="169"/>
      <c r="AI10" s="169"/>
      <c r="AJ10" s="169"/>
      <c r="AL10" s="169"/>
      <c r="AM10" s="169"/>
      <c r="AN10" s="169"/>
      <c r="AP10" s="169"/>
      <c r="AQ10" s="169"/>
      <c r="AR10" s="169"/>
      <c r="AT10" s="169"/>
      <c r="AU10" s="169"/>
      <c r="AV10" s="169"/>
      <c r="AX10" s="169"/>
      <c r="AY10" s="169"/>
      <c r="AZ10" s="169"/>
    </row>
    <row r="11" spans="1:52" x14ac:dyDescent="0.25">
      <c r="A11" s="113">
        <v>7</v>
      </c>
      <c r="B11" s="114" t="s">
        <v>425</v>
      </c>
      <c r="C11" s="114" t="s">
        <v>426</v>
      </c>
      <c r="D11" s="113" t="s">
        <v>71</v>
      </c>
      <c r="F11" s="114">
        <v>800</v>
      </c>
      <c r="G11" s="114">
        <v>0</v>
      </c>
      <c r="H11" s="114">
        <v>4</v>
      </c>
      <c r="J11" s="114">
        <v>540</v>
      </c>
      <c r="K11" s="114">
        <v>0</v>
      </c>
      <c r="L11" s="114">
        <v>0</v>
      </c>
      <c r="N11" s="114">
        <v>600</v>
      </c>
      <c r="O11" s="114">
        <v>0</v>
      </c>
      <c r="P11" s="114">
        <v>0</v>
      </c>
      <c r="R11" s="114">
        <v>720</v>
      </c>
      <c r="S11" s="114">
        <v>0</v>
      </c>
      <c r="T11" s="114">
        <v>0</v>
      </c>
      <c r="V11" s="114">
        <v>600</v>
      </c>
      <c r="W11" s="114">
        <v>0</v>
      </c>
      <c r="X11" s="114">
        <v>0</v>
      </c>
      <c r="Z11" s="169">
        <v>840</v>
      </c>
      <c r="AA11" s="169">
        <v>0</v>
      </c>
      <c r="AB11" s="169">
        <v>0</v>
      </c>
      <c r="AC11" s="135">
        <v>4</v>
      </c>
      <c r="AD11" s="169">
        <f>VLOOKUP(B11,[4]PCS!$Y$1:$Z$65536,2,0)</f>
        <v>680</v>
      </c>
      <c r="AE11" s="169">
        <f>VLOOKUP(B11,[4]PCS!$Y$1:$AA$65536,3,0)</f>
        <v>0</v>
      </c>
      <c r="AF11" s="169">
        <f>VLOOKUP(B11,[4]PCS!$Y$1:$AB$65536,4,0)</f>
        <v>0</v>
      </c>
      <c r="AH11" s="169"/>
      <c r="AI11" s="169"/>
      <c r="AJ11" s="169"/>
      <c r="AL11" s="169"/>
      <c r="AM11" s="169"/>
      <c r="AN11" s="169"/>
      <c r="AP11" s="169"/>
      <c r="AQ11" s="169"/>
      <c r="AR11" s="169"/>
      <c r="AT11" s="169"/>
      <c r="AU11" s="169"/>
      <c r="AV11" s="169"/>
      <c r="AX11" s="169"/>
      <c r="AY11" s="169"/>
      <c r="AZ11" s="169"/>
    </row>
    <row r="12" spans="1:52" x14ac:dyDescent="0.25">
      <c r="A12" s="113">
        <v>8</v>
      </c>
      <c r="B12" s="114" t="s">
        <v>427</v>
      </c>
      <c r="C12" s="114" t="s">
        <v>428</v>
      </c>
      <c r="D12" s="113" t="s">
        <v>71</v>
      </c>
      <c r="F12" s="114">
        <v>960</v>
      </c>
      <c r="G12" s="114">
        <v>0</v>
      </c>
      <c r="H12" s="114">
        <v>0</v>
      </c>
      <c r="J12" s="114">
        <v>660</v>
      </c>
      <c r="K12" s="114">
        <v>0</v>
      </c>
      <c r="L12" s="114">
        <v>0</v>
      </c>
      <c r="N12" s="114">
        <v>800</v>
      </c>
      <c r="O12" s="114">
        <v>0</v>
      </c>
      <c r="P12" s="114">
        <v>0</v>
      </c>
      <c r="R12" s="114">
        <v>600</v>
      </c>
      <c r="S12" s="114">
        <v>0</v>
      </c>
      <c r="T12" s="114">
        <v>0</v>
      </c>
      <c r="V12" s="114">
        <v>840</v>
      </c>
      <c r="W12" s="114">
        <v>0</v>
      </c>
      <c r="X12" s="114">
        <v>0</v>
      </c>
      <c r="Z12" s="169">
        <v>900</v>
      </c>
      <c r="AA12" s="169">
        <v>0</v>
      </c>
      <c r="AB12" s="169">
        <v>0</v>
      </c>
      <c r="AC12" s="135">
        <v>4</v>
      </c>
      <c r="AD12" s="169">
        <f>VLOOKUP(B12,[4]PCS!$Y$1:$Z$65536,2,0)</f>
        <v>1260</v>
      </c>
      <c r="AE12" s="169">
        <f>VLOOKUP(B12,[4]PCS!$Y$1:$AA$65536,3,0)</f>
        <v>0</v>
      </c>
      <c r="AF12" s="169">
        <f>VLOOKUP(B12,[4]PCS!$Y$1:$AB$65536,4,0)</f>
        <v>0</v>
      </c>
      <c r="AH12" s="169"/>
      <c r="AI12" s="169"/>
      <c r="AJ12" s="169"/>
      <c r="AL12" s="169"/>
      <c r="AM12" s="169"/>
      <c r="AN12" s="169"/>
      <c r="AP12" s="169"/>
      <c r="AQ12" s="169"/>
      <c r="AR12" s="169"/>
      <c r="AT12" s="169"/>
      <c r="AU12" s="169"/>
      <c r="AV12" s="169"/>
      <c r="AX12" s="169"/>
      <c r="AY12" s="169"/>
      <c r="AZ12" s="169"/>
    </row>
    <row r="13" spans="1:52" x14ac:dyDescent="0.25">
      <c r="A13" s="113">
        <v>9</v>
      </c>
      <c r="B13" s="114" t="s">
        <v>429</v>
      </c>
      <c r="C13" s="114" t="s">
        <v>430</v>
      </c>
      <c r="D13" s="113" t="s">
        <v>71</v>
      </c>
      <c r="F13" s="114">
        <v>960</v>
      </c>
      <c r="G13" s="114">
        <v>0</v>
      </c>
      <c r="H13" s="114">
        <v>0</v>
      </c>
      <c r="J13" s="114">
        <v>660</v>
      </c>
      <c r="K13" s="114">
        <v>0</v>
      </c>
      <c r="L13" s="114">
        <v>0</v>
      </c>
      <c r="N13" s="114">
        <v>800</v>
      </c>
      <c r="O13" s="114">
        <v>0</v>
      </c>
      <c r="P13" s="114">
        <v>0</v>
      </c>
      <c r="R13" s="114">
        <v>600</v>
      </c>
      <c r="S13" s="114">
        <v>0</v>
      </c>
      <c r="T13" s="114">
        <v>0</v>
      </c>
      <c r="V13" s="114">
        <v>840</v>
      </c>
      <c r="W13" s="114">
        <v>0</v>
      </c>
      <c r="X13" s="114">
        <v>0</v>
      </c>
      <c r="Z13" s="169">
        <v>900</v>
      </c>
      <c r="AA13" s="169">
        <v>0</v>
      </c>
      <c r="AB13" s="169">
        <v>0</v>
      </c>
      <c r="AC13" s="135">
        <v>4</v>
      </c>
      <c r="AD13" s="169">
        <f>VLOOKUP(B13,[4]PCS!$Y$1:$Z$65536,2,0)</f>
        <v>1260</v>
      </c>
      <c r="AE13" s="169">
        <f>VLOOKUP(B13,[4]PCS!$Y$1:$AA$65536,3,0)</f>
        <v>0</v>
      </c>
      <c r="AF13" s="169">
        <f>VLOOKUP(B13,[4]PCS!$Y$1:$AB$65536,4,0)</f>
        <v>0</v>
      </c>
      <c r="AH13" s="169"/>
      <c r="AI13" s="169"/>
      <c r="AJ13" s="169"/>
      <c r="AL13" s="169"/>
      <c r="AM13" s="169"/>
      <c r="AN13" s="169"/>
      <c r="AP13" s="169"/>
      <c r="AQ13" s="169"/>
      <c r="AR13" s="169"/>
      <c r="AT13" s="169"/>
      <c r="AU13" s="169"/>
      <c r="AV13" s="169"/>
      <c r="AX13" s="169"/>
      <c r="AY13" s="169"/>
      <c r="AZ13" s="169"/>
    </row>
    <row r="14" spans="1:52" x14ac:dyDescent="0.25">
      <c r="A14" s="113">
        <v>10</v>
      </c>
      <c r="B14" s="114" t="s">
        <v>431</v>
      </c>
      <c r="C14" s="114" t="s">
        <v>432</v>
      </c>
      <c r="D14" s="113" t="s">
        <v>71</v>
      </c>
      <c r="F14" s="114">
        <v>1140</v>
      </c>
      <c r="G14" s="114">
        <v>0</v>
      </c>
      <c r="H14" s="114">
        <v>0</v>
      </c>
      <c r="J14" s="114">
        <v>720</v>
      </c>
      <c r="K14" s="114">
        <v>0</v>
      </c>
      <c r="L14" s="114">
        <v>0</v>
      </c>
      <c r="N14" s="114">
        <v>900</v>
      </c>
      <c r="O14" s="114">
        <v>0</v>
      </c>
      <c r="P14" s="114">
        <v>0</v>
      </c>
      <c r="R14" s="114">
        <v>540</v>
      </c>
      <c r="S14" s="114">
        <v>0</v>
      </c>
      <c r="T14" s="114">
        <v>0</v>
      </c>
      <c r="V14" s="114">
        <v>840</v>
      </c>
      <c r="W14" s="114">
        <v>0</v>
      </c>
      <c r="X14" s="114">
        <v>0</v>
      </c>
      <c r="Z14" s="169">
        <v>1080</v>
      </c>
      <c r="AA14" s="169">
        <v>0</v>
      </c>
      <c r="AB14" s="169">
        <v>0</v>
      </c>
      <c r="AC14" s="135">
        <v>4</v>
      </c>
      <c r="AD14" s="169">
        <f>VLOOKUP(B14,[4]PCS!$Y$1:$Z$65536,2,0)</f>
        <v>1140</v>
      </c>
      <c r="AE14" s="169">
        <f>VLOOKUP(B14,[4]PCS!$Y$1:$AA$65536,3,0)</f>
        <v>0</v>
      </c>
      <c r="AF14" s="169">
        <f>VLOOKUP(B14,[4]PCS!$Y$1:$AB$65536,4,0)</f>
        <v>0</v>
      </c>
      <c r="AH14" s="169"/>
      <c r="AI14" s="169"/>
      <c r="AJ14" s="169"/>
      <c r="AL14" s="169"/>
      <c r="AM14" s="169"/>
      <c r="AN14" s="169"/>
      <c r="AP14" s="169"/>
      <c r="AQ14" s="169"/>
      <c r="AR14" s="169"/>
      <c r="AT14" s="169"/>
      <c r="AU14" s="169"/>
      <c r="AV14" s="169"/>
      <c r="AX14" s="169"/>
      <c r="AY14" s="169"/>
      <c r="AZ14" s="169"/>
    </row>
    <row r="15" spans="1:52" x14ac:dyDescent="0.25">
      <c r="A15" s="113">
        <v>11</v>
      </c>
      <c r="B15" s="114" t="s">
        <v>433</v>
      </c>
      <c r="C15" s="114" t="s">
        <v>434</v>
      </c>
      <c r="D15" s="113" t="s">
        <v>71</v>
      </c>
      <c r="F15" s="114">
        <v>1200</v>
      </c>
      <c r="G15" s="114">
        <v>0</v>
      </c>
      <c r="H15" s="114">
        <v>0</v>
      </c>
      <c r="J15" s="114">
        <v>660</v>
      </c>
      <c r="K15" s="114">
        <v>0</v>
      </c>
      <c r="L15" s="114">
        <v>0</v>
      </c>
      <c r="N15" s="114">
        <v>900</v>
      </c>
      <c r="O15" s="114">
        <v>0</v>
      </c>
      <c r="P15" s="114">
        <v>0</v>
      </c>
      <c r="R15" s="114">
        <v>960</v>
      </c>
      <c r="S15" s="114">
        <v>0</v>
      </c>
      <c r="T15" s="114">
        <v>0</v>
      </c>
      <c r="V15" s="114">
        <v>600</v>
      </c>
      <c r="W15" s="114">
        <v>0</v>
      </c>
      <c r="X15" s="114">
        <v>0</v>
      </c>
      <c r="Z15" s="169">
        <v>540</v>
      </c>
      <c r="AA15" s="169">
        <v>0</v>
      </c>
      <c r="AB15" s="169">
        <v>0</v>
      </c>
      <c r="AC15" s="135">
        <v>4</v>
      </c>
      <c r="AD15" s="169">
        <v>1454</v>
      </c>
      <c r="AE15" s="169">
        <v>0</v>
      </c>
      <c r="AF15" s="169">
        <f>VLOOKUP(B15,[4]PCS!$Y$1:$AB$65536,4,0)</f>
        <v>0</v>
      </c>
      <c r="AH15" s="169"/>
      <c r="AI15" s="169"/>
      <c r="AJ15" s="169"/>
      <c r="AL15" s="169"/>
      <c r="AM15" s="169"/>
      <c r="AN15" s="169"/>
      <c r="AP15" s="169"/>
      <c r="AQ15" s="169"/>
      <c r="AR15" s="169"/>
      <c r="AT15" s="169"/>
      <c r="AU15" s="169"/>
      <c r="AV15" s="169"/>
      <c r="AX15" s="169"/>
      <c r="AY15" s="169"/>
      <c r="AZ15" s="169"/>
    </row>
    <row r="16" spans="1:52" x14ac:dyDescent="0.25">
      <c r="A16" s="113">
        <v>12</v>
      </c>
      <c r="B16" s="114" t="s">
        <v>435</v>
      </c>
      <c r="C16" s="114" t="s">
        <v>436</v>
      </c>
      <c r="D16" s="113" t="s">
        <v>71</v>
      </c>
      <c r="F16" s="114">
        <v>1200</v>
      </c>
      <c r="G16" s="114">
        <v>0</v>
      </c>
      <c r="H16" s="114">
        <v>0</v>
      </c>
      <c r="J16" s="114">
        <v>600</v>
      </c>
      <c r="K16" s="114">
        <v>0</v>
      </c>
      <c r="L16" s="114">
        <v>0</v>
      </c>
      <c r="N16" s="114">
        <v>840</v>
      </c>
      <c r="O16" s="114">
        <v>0</v>
      </c>
      <c r="P16" s="114">
        <v>0</v>
      </c>
      <c r="R16" s="114">
        <v>600</v>
      </c>
      <c r="S16" s="114">
        <v>0</v>
      </c>
      <c r="T16" s="114">
        <v>0</v>
      </c>
      <c r="V16" s="114">
        <v>960</v>
      </c>
      <c r="W16" s="114">
        <v>0</v>
      </c>
      <c r="X16" s="114">
        <v>0</v>
      </c>
      <c r="Z16" s="169">
        <v>900</v>
      </c>
      <c r="AA16" s="169">
        <v>0</v>
      </c>
      <c r="AB16" s="169">
        <v>0</v>
      </c>
      <c r="AC16" s="135">
        <v>4</v>
      </c>
      <c r="AD16" s="169">
        <f>VLOOKUP(B16,[4]PCS!$Y$1:$Z$65536,2,0)</f>
        <v>1440</v>
      </c>
      <c r="AE16" s="169">
        <f>VLOOKUP(B16,[4]PCS!$Y$1:$AA$65536,3,0)</f>
        <v>0</v>
      </c>
      <c r="AF16" s="169">
        <f>VLOOKUP(B16,[4]PCS!$Y$1:$AB$65536,4,0)</f>
        <v>0</v>
      </c>
      <c r="AH16" s="169"/>
      <c r="AI16" s="169"/>
      <c r="AJ16" s="169"/>
      <c r="AL16" s="169"/>
      <c r="AM16" s="169"/>
      <c r="AN16" s="169"/>
      <c r="AP16" s="169"/>
      <c r="AQ16" s="169"/>
      <c r="AR16" s="169"/>
      <c r="AT16" s="169"/>
      <c r="AU16" s="169"/>
      <c r="AV16" s="169"/>
      <c r="AX16" s="169"/>
      <c r="AY16" s="169"/>
      <c r="AZ16" s="169"/>
    </row>
    <row r="17" spans="1:52" x14ac:dyDescent="0.25">
      <c r="A17" s="113">
        <v>13</v>
      </c>
      <c r="B17" s="114" t="s">
        <v>437</v>
      </c>
      <c r="C17" s="114" t="s">
        <v>438</v>
      </c>
      <c r="D17" s="113" t="s">
        <v>71</v>
      </c>
      <c r="F17" s="114">
        <v>1243</v>
      </c>
      <c r="G17" s="114">
        <v>0</v>
      </c>
      <c r="H17" s="114">
        <v>0</v>
      </c>
      <c r="J17" s="114">
        <v>600</v>
      </c>
      <c r="K17" s="114">
        <v>0</v>
      </c>
      <c r="L17" s="114">
        <v>0</v>
      </c>
      <c r="N17" s="114">
        <v>840</v>
      </c>
      <c r="O17" s="114">
        <v>0</v>
      </c>
      <c r="P17" s="114">
        <v>0</v>
      </c>
      <c r="R17" s="114">
        <v>600</v>
      </c>
      <c r="S17" s="114">
        <v>0</v>
      </c>
      <c r="T17" s="114">
        <v>0</v>
      </c>
      <c r="V17" s="114">
        <v>960</v>
      </c>
      <c r="W17" s="114">
        <v>0</v>
      </c>
      <c r="X17" s="114">
        <v>0</v>
      </c>
      <c r="Z17" s="169">
        <v>900</v>
      </c>
      <c r="AA17" s="169">
        <v>0</v>
      </c>
      <c r="AB17" s="169">
        <v>0</v>
      </c>
      <c r="AC17" s="135">
        <v>4</v>
      </c>
      <c r="AD17" s="169">
        <f>VLOOKUP(B17,[4]PCS!$Y$1:$Z$65536,2,0)</f>
        <v>1440</v>
      </c>
      <c r="AE17" s="169">
        <f>VLOOKUP(B17,[4]PCS!$Y$1:$AA$65536,3,0)</f>
        <v>0</v>
      </c>
      <c r="AF17" s="169">
        <f>VLOOKUP(B17,[4]PCS!$Y$1:$AB$65536,4,0)</f>
        <v>0</v>
      </c>
      <c r="AH17" s="169"/>
      <c r="AI17" s="169"/>
      <c r="AJ17" s="169"/>
      <c r="AL17" s="169"/>
      <c r="AM17" s="169"/>
      <c r="AN17" s="169"/>
      <c r="AP17" s="169"/>
      <c r="AQ17" s="169"/>
      <c r="AR17" s="169"/>
      <c r="AT17" s="169"/>
      <c r="AU17" s="169"/>
      <c r="AV17" s="169"/>
      <c r="AX17" s="169"/>
      <c r="AY17" s="169"/>
      <c r="AZ17" s="169"/>
    </row>
    <row r="18" spans="1:52" x14ac:dyDescent="0.25">
      <c r="A18" s="113">
        <v>14</v>
      </c>
      <c r="B18" s="114" t="s">
        <v>439</v>
      </c>
      <c r="C18" s="114" t="s">
        <v>440</v>
      </c>
      <c r="D18" s="113" t="s">
        <v>71</v>
      </c>
      <c r="F18" s="114">
        <v>1300</v>
      </c>
      <c r="G18" s="114">
        <v>0</v>
      </c>
      <c r="H18" s="114">
        <v>0</v>
      </c>
      <c r="J18" s="114"/>
      <c r="K18" s="114"/>
      <c r="L18" s="114"/>
      <c r="N18" s="114"/>
      <c r="O18" s="114"/>
      <c r="P18" s="114"/>
      <c r="R18" s="114">
        <v>1100</v>
      </c>
      <c r="S18" s="114">
        <v>0</v>
      </c>
      <c r="T18" s="114">
        <v>0</v>
      </c>
      <c r="V18" s="114">
        <v>1400</v>
      </c>
      <c r="W18" s="114">
        <v>0</v>
      </c>
      <c r="X18" s="114">
        <v>0</v>
      </c>
      <c r="Z18" s="169">
        <v>200</v>
      </c>
      <c r="AA18" s="169">
        <v>0</v>
      </c>
      <c r="AB18" s="169">
        <v>0</v>
      </c>
      <c r="AC18" s="135">
        <v>4</v>
      </c>
      <c r="AD18" s="169">
        <f>VLOOKUP(B18,[4]PCS!$Y$1:$Z$65536,2,0)</f>
        <v>700</v>
      </c>
      <c r="AE18" s="169">
        <f>VLOOKUP(B18,[4]PCS!$Y$1:$AA$65536,3,0)</f>
        <v>0</v>
      </c>
      <c r="AF18" s="169">
        <f>VLOOKUP(B18,[4]PCS!$Y$1:$AB$65536,4,0)</f>
        <v>0</v>
      </c>
      <c r="AH18" s="169"/>
      <c r="AI18" s="169"/>
      <c r="AJ18" s="169"/>
      <c r="AL18" s="169"/>
      <c r="AM18" s="169"/>
      <c r="AN18" s="169"/>
      <c r="AP18" s="169"/>
      <c r="AQ18" s="169"/>
      <c r="AR18" s="169"/>
      <c r="AT18" s="169"/>
      <c r="AU18" s="169"/>
      <c r="AV18" s="169"/>
      <c r="AX18" s="169"/>
      <c r="AY18" s="169"/>
      <c r="AZ18" s="169"/>
    </row>
    <row r="19" spans="1:52" x14ac:dyDescent="0.25">
      <c r="A19" s="113">
        <v>15</v>
      </c>
      <c r="B19" s="114" t="s">
        <v>441</v>
      </c>
      <c r="C19" s="114" t="s">
        <v>442</v>
      </c>
      <c r="D19" s="113" t="s">
        <v>71</v>
      </c>
      <c r="F19" s="114">
        <v>1380</v>
      </c>
      <c r="G19" s="114">
        <v>0</v>
      </c>
      <c r="H19" s="114">
        <v>0</v>
      </c>
      <c r="J19" s="114">
        <v>300</v>
      </c>
      <c r="K19" s="114">
        <v>0</v>
      </c>
      <c r="L19" s="114">
        <v>0</v>
      </c>
      <c r="N19" s="114">
        <v>900</v>
      </c>
      <c r="O19" s="114">
        <v>0</v>
      </c>
      <c r="P19" s="114">
        <v>0</v>
      </c>
      <c r="R19" s="114">
        <v>832</v>
      </c>
      <c r="S19" s="114">
        <v>0</v>
      </c>
      <c r="T19" s="114">
        <v>0</v>
      </c>
      <c r="V19" s="114">
        <v>600</v>
      </c>
      <c r="W19" s="114">
        <v>0</v>
      </c>
      <c r="X19" s="114">
        <v>0</v>
      </c>
      <c r="Z19" s="169">
        <v>840</v>
      </c>
      <c r="AA19" s="169">
        <v>0</v>
      </c>
      <c r="AB19" s="169">
        <v>0</v>
      </c>
      <c r="AC19" s="135">
        <v>4</v>
      </c>
      <c r="AD19" s="169">
        <f>VLOOKUP(B19,[4]PCS!$Y$1:$Z$65536,2,0)</f>
        <v>1140</v>
      </c>
      <c r="AE19" s="169">
        <f>VLOOKUP(B19,[4]PCS!$Y$1:$AA$65536,3,0)</f>
        <v>0</v>
      </c>
      <c r="AF19" s="169">
        <f>VLOOKUP(B19,[4]PCS!$Y$1:$AB$65536,4,0)</f>
        <v>0</v>
      </c>
      <c r="AH19" s="169"/>
      <c r="AI19" s="169"/>
      <c r="AJ19" s="169"/>
      <c r="AL19" s="169"/>
      <c r="AM19" s="169"/>
      <c r="AN19" s="169"/>
      <c r="AP19" s="169"/>
      <c r="AQ19" s="169"/>
      <c r="AR19" s="169"/>
      <c r="AT19" s="169"/>
      <c r="AU19" s="169"/>
      <c r="AV19" s="169"/>
      <c r="AX19" s="169"/>
      <c r="AY19" s="169"/>
      <c r="AZ19" s="169"/>
    </row>
    <row r="20" spans="1:52" x14ac:dyDescent="0.25">
      <c r="A20" s="113">
        <v>16</v>
      </c>
      <c r="B20" s="114" t="s">
        <v>443</v>
      </c>
      <c r="C20" s="114" t="s">
        <v>444</v>
      </c>
      <c r="D20" s="113" t="s">
        <v>71</v>
      </c>
      <c r="F20" s="114">
        <v>1380</v>
      </c>
      <c r="G20" s="114">
        <v>0</v>
      </c>
      <c r="H20" s="114">
        <v>0</v>
      </c>
      <c r="J20" s="114">
        <v>1260</v>
      </c>
      <c r="K20" s="114">
        <v>0</v>
      </c>
      <c r="L20" s="114">
        <v>0</v>
      </c>
      <c r="N20" s="114">
        <v>1260</v>
      </c>
      <c r="O20" s="114">
        <v>0</v>
      </c>
      <c r="P20" s="114">
        <v>0</v>
      </c>
      <c r="R20" s="114">
        <v>960</v>
      </c>
      <c r="S20" s="114">
        <v>0</v>
      </c>
      <c r="T20" s="114">
        <v>0</v>
      </c>
      <c r="V20" s="114">
        <v>1620</v>
      </c>
      <c r="W20" s="114">
        <v>0</v>
      </c>
      <c r="X20" s="114">
        <v>0</v>
      </c>
      <c r="Z20" s="169">
        <v>1260</v>
      </c>
      <c r="AA20" s="169">
        <v>0</v>
      </c>
      <c r="AB20" s="169">
        <v>0</v>
      </c>
      <c r="AC20" s="135">
        <v>4</v>
      </c>
      <c r="AD20" s="169">
        <f>VLOOKUP(B20,[4]PCS!$Y$1:$Z$65536,2,0)</f>
        <v>1560</v>
      </c>
      <c r="AE20" s="169">
        <f>VLOOKUP(B20,[4]PCS!$Y$1:$AA$65536,3,0)</f>
        <v>0</v>
      </c>
      <c r="AF20" s="169">
        <f>VLOOKUP(B20,[4]PCS!$Y$1:$AB$65536,4,0)</f>
        <v>0</v>
      </c>
      <c r="AH20" s="169"/>
      <c r="AI20" s="169"/>
      <c r="AJ20" s="169"/>
      <c r="AL20" s="169"/>
      <c r="AM20" s="169"/>
      <c r="AN20" s="169"/>
      <c r="AP20" s="169"/>
      <c r="AQ20" s="169"/>
      <c r="AR20" s="169"/>
      <c r="AT20" s="169"/>
      <c r="AU20" s="169"/>
      <c r="AV20" s="169"/>
      <c r="AX20" s="169"/>
      <c r="AY20" s="169"/>
      <c r="AZ20" s="169"/>
    </row>
    <row r="21" spans="1:52" x14ac:dyDescent="0.25">
      <c r="A21" s="113">
        <v>17</v>
      </c>
      <c r="B21" s="114" t="s">
        <v>445</v>
      </c>
      <c r="C21" s="114" t="s">
        <v>446</v>
      </c>
      <c r="D21" s="113" t="s">
        <v>71</v>
      </c>
      <c r="F21" s="114">
        <v>1380</v>
      </c>
      <c r="G21" s="114">
        <v>0</v>
      </c>
      <c r="H21" s="114">
        <v>0</v>
      </c>
      <c r="J21" s="114">
        <v>1260</v>
      </c>
      <c r="K21" s="114">
        <v>0</v>
      </c>
      <c r="L21" s="114">
        <v>0</v>
      </c>
      <c r="N21" s="114">
        <v>1260</v>
      </c>
      <c r="O21" s="114">
        <v>0</v>
      </c>
      <c r="P21" s="114">
        <v>0</v>
      </c>
      <c r="R21" s="114">
        <v>960</v>
      </c>
      <c r="S21" s="114">
        <v>0</v>
      </c>
      <c r="T21" s="114">
        <v>0</v>
      </c>
      <c r="V21" s="114">
        <v>1620</v>
      </c>
      <c r="W21" s="114">
        <v>0</v>
      </c>
      <c r="X21" s="114">
        <v>0</v>
      </c>
      <c r="Z21" s="169">
        <v>1260</v>
      </c>
      <c r="AA21" s="169">
        <v>0</v>
      </c>
      <c r="AB21" s="169">
        <v>0</v>
      </c>
      <c r="AC21" s="135">
        <v>4</v>
      </c>
      <c r="AD21" s="169">
        <f>VLOOKUP(B21,[4]PCS!$Y$1:$Z$65536,2,0)</f>
        <v>1560</v>
      </c>
      <c r="AE21" s="169">
        <f>VLOOKUP(B21,[4]PCS!$Y$1:$AA$65536,3,0)</f>
        <v>0</v>
      </c>
      <c r="AF21" s="169">
        <f>VLOOKUP(B21,[4]PCS!$Y$1:$AB$65536,4,0)</f>
        <v>0</v>
      </c>
      <c r="AH21" s="169"/>
      <c r="AI21" s="169"/>
      <c r="AJ21" s="169"/>
      <c r="AL21" s="169"/>
      <c r="AM21" s="169"/>
      <c r="AN21" s="169"/>
      <c r="AP21" s="169"/>
      <c r="AQ21" s="169"/>
      <c r="AR21" s="169"/>
      <c r="AT21" s="169"/>
      <c r="AU21" s="169"/>
      <c r="AV21" s="169"/>
      <c r="AX21" s="169"/>
      <c r="AY21" s="169"/>
      <c r="AZ21" s="169"/>
    </row>
    <row r="22" spans="1:52" x14ac:dyDescent="0.25">
      <c r="A22" s="113">
        <v>18</v>
      </c>
      <c r="B22" s="114" t="s">
        <v>447</v>
      </c>
      <c r="C22" s="114" t="s">
        <v>448</v>
      </c>
      <c r="D22" s="113" t="s">
        <v>71</v>
      </c>
      <c r="F22" s="114">
        <v>1650</v>
      </c>
      <c r="G22" s="114">
        <v>0</v>
      </c>
      <c r="H22" s="114">
        <v>0</v>
      </c>
      <c r="J22" s="114">
        <v>1150</v>
      </c>
      <c r="K22" s="114">
        <v>0</v>
      </c>
      <c r="L22" s="114">
        <v>1</v>
      </c>
      <c r="N22" s="114">
        <v>1200</v>
      </c>
      <c r="O22" s="114">
        <v>0</v>
      </c>
      <c r="P22" s="114">
        <v>0</v>
      </c>
      <c r="R22" s="114">
        <v>700</v>
      </c>
      <c r="S22" s="114">
        <v>0</v>
      </c>
      <c r="T22" s="114">
        <v>0</v>
      </c>
      <c r="V22" s="114">
        <v>2200</v>
      </c>
      <c r="W22" s="114">
        <v>0</v>
      </c>
      <c r="X22" s="114">
        <v>0</v>
      </c>
      <c r="Z22" s="169">
        <v>2600</v>
      </c>
      <c r="AA22" s="169">
        <v>0</v>
      </c>
      <c r="AB22" s="169">
        <v>0</v>
      </c>
      <c r="AC22" s="135">
        <v>4</v>
      </c>
      <c r="AD22" s="169">
        <f>VLOOKUP(B22,[4]PCS!$Y$1:$Z$65536,2,0)</f>
        <v>1550</v>
      </c>
      <c r="AE22" s="169">
        <f>VLOOKUP(B22,[4]PCS!$Y$1:$AA$65536,3,0)</f>
        <v>0</v>
      </c>
      <c r="AF22" s="169">
        <f>VLOOKUP(B22,[4]PCS!$Y$1:$AB$65536,4,0)</f>
        <v>0</v>
      </c>
      <c r="AH22" s="169"/>
      <c r="AI22" s="169"/>
      <c r="AJ22" s="169"/>
      <c r="AL22" s="169"/>
      <c r="AM22" s="169"/>
      <c r="AN22" s="169"/>
      <c r="AP22" s="169"/>
      <c r="AQ22" s="169"/>
      <c r="AR22" s="169"/>
      <c r="AT22" s="169"/>
      <c r="AU22" s="169"/>
      <c r="AV22" s="169"/>
      <c r="AX22" s="169"/>
      <c r="AY22" s="169"/>
      <c r="AZ22" s="169"/>
    </row>
    <row r="23" spans="1:52" x14ac:dyDescent="0.25">
      <c r="A23" s="113">
        <v>19</v>
      </c>
      <c r="B23" s="114" t="s">
        <v>449</v>
      </c>
      <c r="C23" s="114" t="s">
        <v>450</v>
      </c>
      <c r="D23" s="113" t="s">
        <v>71</v>
      </c>
      <c r="F23" s="114">
        <v>1750</v>
      </c>
      <c r="G23" s="114">
        <v>0</v>
      </c>
      <c r="H23" s="114">
        <v>0</v>
      </c>
      <c r="J23" s="114">
        <v>1100</v>
      </c>
      <c r="K23" s="114">
        <v>0</v>
      </c>
      <c r="L23" s="114">
        <v>0</v>
      </c>
      <c r="N23" s="114">
        <v>1105</v>
      </c>
      <c r="O23" s="114">
        <v>0</v>
      </c>
      <c r="P23" s="114">
        <v>0</v>
      </c>
      <c r="R23" s="114">
        <v>800</v>
      </c>
      <c r="S23" s="114">
        <v>0</v>
      </c>
      <c r="T23" s="114">
        <v>0</v>
      </c>
      <c r="V23" s="114">
        <v>2300</v>
      </c>
      <c r="W23" s="114">
        <v>0</v>
      </c>
      <c r="X23" s="114">
        <v>0</v>
      </c>
      <c r="Z23" s="169">
        <v>2307</v>
      </c>
      <c r="AA23" s="169">
        <v>0</v>
      </c>
      <c r="AB23" s="169">
        <v>0</v>
      </c>
      <c r="AC23" s="135">
        <v>4</v>
      </c>
      <c r="AD23" s="169">
        <f>VLOOKUP(B23,[4]PCS!$Y$1:$Z$65536,2,0)</f>
        <v>1350</v>
      </c>
      <c r="AE23" s="169">
        <f>VLOOKUP(B23,[4]PCS!$Y$1:$AA$65536,3,0)</f>
        <v>0</v>
      </c>
      <c r="AF23" s="169">
        <f>VLOOKUP(B23,[4]PCS!$Y$1:$AB$65536,4,0)</f>
        <v>0</v>
      </c>
      <c r="AH23" s="169"/>
      <c r="AI23" s="169"/>
      <c r="AJ23" s="169"/>
      <c r="AL23" s="169"/>
      <c r="AM23" s="169"/>
      <c r="AN23" s="169"/>
      <c r="AP23" s="169"/>
      <c r="AQ23" s="169"/>
      <c r="AR23" s="169"/>
      <c r="AT23" s="169"/>
      <c r="AU23" s="169"/>
      <c r="AV23" s="169"/>
      <c r="AX23" s="169"/>
      <c r="AY23" s="169"/>
      <c r="AZ23" s="169"/>
    </row>
    <row r="24" spans="1:52" x14ac:dyDescent="0.25">
      <c r="A24" s="113">
        <v>20</v>
      </c>
      <c r="B24" s="114" t="s">
        <v>451</v>
      </c>
      <c r="C24" s="114" t="s">
        <v>452</v>
      </c>
      <c r="D24" s="113" t="s">
        <v>71</v>
      </c>
      <c r="F24" s="114">
        <v>1820</v>
      </c>
      <c r="G24" s="114">
        <v>0</v>
      </c>
      <c r="H24" s="114">
        <v>0</v>
      </c>
      <c r="J24" s="114">
        <v>780</v>
      </c>
      <c r="K24" s="114">
        <v>0</v>
      </c>
      <c r="L24" s="114">
        <v>0</v>
      </c>
      <c r="N24" s="114">
        <v>1380</v>
      </c>
      <c r="O24" s="114">
        <v>0</v>
      </c>
      <c r="P24" s="114">
        <v>0</v>
      </c>
      <c r="R24" s="114">
        <v>1020</v>
      </c>
      <c r="S24" s="114">
        <v>0</v>
      </c>
      <c r="T24" s="114">
        <v>0</v>
      </c>
      <c r="V24" s="114">
        <v>1260</v>
      </c>
      <c r="W24" s="114">
        <v>0</v>
      </c>
      <c r="X24" s="114">
        <v>0</v>
      </c>
      <c r="Z24" s="169">
        <v>1380</v>
      </c>
      <c r="AA24" s="169">
        <v>0</v>
      </c>
      <c r="AB24" s="169">
        <v>0</v>
      </c>
      <c r="AC24" s="135">
        <v>4</v>
      </c>
      <c r="AD24" s="169">
        <f>VLOOKUP(B24,[4]PCS!$Y$1:$Z$65536,2,0)</f>
        <v>1520</v>
      </c>
      <c r="AE24" s="169">
        <f>VLOOKUP(B24,[4]PCS!$Y$1:$AA$65536,3,0)</f>
        <v>0</v>
      </c>
      <c r="AF24" s="169">
        <f>VLOOKUP(B24,[4]PCS!$Y$1:$AB$65536,4,0)</f>
        <v>0</v>
      </c>
      <c r="AH24" s="169"/>
      <c r="AI24" s="169"/>
      <c r="AJ24" s="169"/>
      <c r="AL24" s="169"/>
      <c r="AM24" s="169"/>
      <c r="AN24" s="169"/>
      <c r="AP24" s="169"/>
      <c r="AQ24" s="169"/>
      <c r="AR24" s="169"/>
      <c r="AT24" s="169"/>
      <c r="AU24" s="169"/>
      <c r="AV24" s="169"/>
      <c r="AX24" s="169"/>
      <c r="AY24" s="169"/>
      <c r="AZ24" s="169"/>
    </row>
    <row r="25" spans="1:52" x14ac:dyDescent="0.25">
      <c r="A25" s="113">
        <v>21</v>
      </c>
      <c r="B25" s="114" t="s">
        <v>453</v>
      </c>
      <c r="C25" s="114" t="s">
        <v>454</v>
      </c>
      <c r="D25" s="113" t="s">
        <v>71</v>
      </c>
      <c r="F25" s="114">
        <v>3480</v>
      </c>
      <c r="G25" s="114">
        <v>0</v>
      </c>
      <c r="H25" s="114">
        <v>0</v>
      </c>
      <c r="J25" s="114">
        <v>2300</v>
      </c>
      <c r="K25" s="114">
        <v>0</v>
      </c>
      <c r="L25" s="114">
        <v>0</v>
      </c>
      <c r="N25" s="114">
        <v>3000</v>
      </c>
      <c r="O25" s="114">
        <v>0</v>
      </c>
      <c r="P25" s="114">
        <v>0</v>
      </c>
      <c r="R25" s="114">
        <v>2400</v>
      </c>
      <c r="S25" s="114">
        <v>0</v>
      </c>
      <c r="T25" s="114">
        <v>0</v>
      </c>
      <c r="V25" s="114">
        <v>2400</v>
      </c>
      <c r="W25" s="114">
        <v>0</v>
      </c>
      <c r="X25" s="114">
        <v>0</v>
      </c>
      <c r="Z25" s="169">
        <v>2400</v>
      </c>
      <c r="AA25" s="169">
        <v>0</v>
      </c>
      <c r="AB25" s="169">
        <v>0</v>
      </c>
      <c r="AC25" s="135">
        <v>4</v>
      </c>
      <c r="AD25" s="169"/>
      <c r="AE25" s="169"/>
      <c r="AF25" s="169"/>
      <c r="AH25" s="169"/>
      <c r="AI25" s="169"/>
      <c r="AJ25" s="169"/>
      <c r="AL25" s="169"/>
      <c r="AM25" s="169"/>
      <c r="AN25" s="169"/>
      <c r="AP25" s="169"/>
      <c r="AQ25" s="169"/>
      <c r="AR25" s="169"/>
      <c r="AT25" s="169"/>
      <c r="AU25" s="169"/>
      <c r="AV25" s="169"/>
      <c r="AX25" s="169"/>
      <c r="AY25" s="169"/>
      <c r="AZ25" s="169"/>
    </row>
    <row r="26" spans="1:52" x14ac:dyDescent="0.25">
      <c r="A26" s="113">
        <v>22</v>
      </c>
      <c r="B26" s="114" t="s">
        <v>455</v>
      </c>
      <c r="C26" s="114" t="s">
        <v>456</v>
      </c>
      <c r="D26" s="113" t="s">
        <v>71</v>
      </c>
      <c r="F26" s="114">
        <v>4300</v>
      </c>
      <c r="G26" s="114">
        <v>0</v>
      </c>
      <c r="H26" s="114">
        <v>0</v>
      </c>
      <c r="J26" s="114">
        <v>4383</v>
      </c>
      <c r="K26" s="114">
        <v>26</v>
      </c>
      <c r="L26" s="114">
        <v>2</v>
      </c>
      <c r="N26" s="114">
        <v>5149</v>
      </c>
      <c r="O26" s="114">
        <v>4</v>
      </c>
      <c r="P26" s="114">
        <v>0</v>
      </c>
      <c r="R26" s="114">
        <v>2246</v>
      </c>
      <c r="S26" s="114">
        <v>54</v>
      </c>
      <c r="T26" s="114">
        <v>0</v>
      </c>
      <c r="V26" s="114">
        <v>5910</v>
      </c>
      <c r="W26" s="114">
        <v>98</v>
      </c>
      <c r="X26" s="114">
        <v>3</v>
      </c>
      <c r="Z26" s="169">
        <v>6061</v>
      </c>
      <c r="AA26" s="169">
        <v>52</v>
      </c>
      <c r="AB26" s="169">
        <v>1</v>
      </c>
      <c r="AC26" s="135">
        <v>4</v>
      </c>
      <c r="AD26" s="169">
        <f>VLOOKUP(B26,[4]PCS!$Y$1:$Z$65536,2,0)</f>
        <v>5200</v>
      </c>
      <c r="AE26" s="169">
        <f>VLOOKUP(B26,[4]PCS!$Y$1:$AA$65536,3,0)</f>
        <v>0</v>
      </c>
      <c r="AF26" s="169">
        <f>VLOOKUP(B26,[4]PCS!$Y$1:$AB$65536,4,0)</f>
        <v>0</v>
      </c>
      <c r="AH26" s="169"/>
      <c r="AI26" s="169"/>
      <c r="AJ26" s="169"/>
      <c r="AL26" s="169"/>
      <c r="AM26" s="169"/>
      <c r="AN26" s="169"/>
      <c r="AP26" s="169"/>
      <c r="AQ26" s="169"/>
      <c r="AR26" s="169"/>
      <c r="AT26" s="169"/>
      <c r="AU26" s="169"/>
      <c r="AV26" s="169"/>
      <c r="AX26" s="169"/>
      <c r="AY26" s="169"/>
      <c r="AZ26" s="169"/>
    </row>
    <row r="27" spans="1:52" x14ac:dyDescent="0.25">
      <c r="A27" s="113">
        <v>23</v>
      </c>
      <c r="B27" s="114" t="s">
        <v>457</v>
      </c>
      <c r="C27" s="114" t="s">
        <v>458</v>
      </c>
      <c r="D27" s="113" t="s">
        <v>71</v>
      </c>
      <c r="F27" s="114">
        <v>4724</v>
      </c>
      <c r="G27" s="114">
        <v>75</v>
      </c>
      <c r="H27" s="114">
        <v>1</v>
      </c>
      <c r="J27" s="114">
        <v>4902</v>
      </c>
      <c r="K27" s="114">
        <v>0</v>
      </c>
      <c r="L27" s="114">
        <v>0</v>
      </c>
      <c r="N27" s="114">
        <v>6560</v>
      </c>
      <c r="O27" s="114">
        <v>0</v>
      </c>
      <c r="P27" s="114">
        <v>0</v>
      </c>
      <c r="R27" s="114">
        <v>2550</v>
      </c>
      <c r="S27" s="114">
        <v>0</v>
      </c>
      <c r="T27" s="114">
        <v>0</v>
      </c>
      <c r="V27" s="114">
        <v>6365</v>
      </c>
      <c r="W27" s="114">
        <v>10</v>
      </c>
      <c r="X27" s="114">
        <v>0</v>
      </c>
      <c r="Z27" s="169">
        <v>7335</v>
      </c>
      <c r="AA27" s="169">
        <v>15</v>
      </c>
      <c r="AB27" s="169">
        <v>0</v>
      </c>
      <c r="AC27" s="135">
        <v>4</v>
      </c>
      <c r="AD27" s="169">
        <f>VLOOKUP(B27,[4]PCS!$Y$1:$Z$65536,2,0)</f>
        <v>5700</v>
      </c>
      <c r="AE27" s="169">
        <f>VLOOKUP(B27,[4]PCS!$Y$1:$AA$65536,3,0)</f>
        <v>0</v>
      </c>
      <c r="AF27" s="169">
        <f>VLOOKUP(B27,[4]PCS!$Y$1:$AB$65536,4,0)</f>
        <v>0</v>
      </c>
      <c r="AH27" s="169"/>
      <c r="AI27" s="169"/>
      <c r="AJ27" s="169"/>
      <c r="AL27" s="169"/>
      <c r="AM27" s="169"/>
      <c r="AN27" s="169"/>
      <c r="AP27" s="169"/>
      <c r="AQ27" s="169"/>
      <c r="AR27" s="169"/>
      <c r="AT27" s="169"/>
      <c r="AU27" s="169"/>
      <c r="AV27" s="169"/>
      <c r="AX27" s="169"/>
      <c r="AY27" s="169"/>
      <c r="AZ27" s="169"/>
    </row>
    <row r="28" spans="1:52" x14ac:dyDescent="0.25">
      <c r="A28" s="113">
        <v>24</v>
      </c>
      <c r="B28" s="114" t="s">
        <v>459</v>
      </c>
      <c r="C28" s="114" t="s">
        <v>460</v>
      </c>
      <c r="D28" s="113" t="s">
        <v>71</v>
      </c>
      <c r="F28" s="114">
        <v>4900</v>
      </c>
      <c r="G28" s="114">
        <v>0</v>
      </c>
      <c r="H28" s="114">
        <v>0</v>
      </c>
      <c r="J28" s="114">
        <v>5202</v>
      </c>
      <c r="K28" s="114">
        <v>0</v>
      </c>
      <c r="L28" s="114">
        <v>0</v>
      </c>
      <c r="N28" s="114">
        <v>5900</v>
      </c>
      <c r="O28" s="114">
        <v>0</v>
      </c>
      <c r="P28" s="114">
        <v>0</v>
      </c>
      <c r="R28" s="114">
        <v>2600</v>
      </c>
      <c r="S28" s="114">
        <v>0</v>
      </c>
      <c r="T28" s="114">
        <v>0</v>
      </c>
      <c r="V28" s="114">
        <v>6900</v>
      </c>
      <c r="W28" s="114">
        <v>0</v>
      </c>
      <c r="X28" s="114">
        <v>0</v>
      </c>
      <c r="Z28" s="169">
        <v>6300</v>
      </c>
      <c r="AA28" s="169">
        <v>0</v>
      </c>
      <c r="AB28" s="169">
        <v>0</v>
      </c>
      <c r="AC28" s="135">
        <v>4</v>
      </c>
      <c r="AD28" s="169">
        <f>VLOOKUP(B28,[4]PCS!$Y$1:$Z$65536,2,0)</f>
        <v>5900</v>
      </c>
      <c r="AE28" s="169">
        <f>VLOOKUP(B28,[4]PCS!$Y$1:$AA$65536,3,0)</f>
        <v>0</v>
      </c>
      <c r="AF28" s="169">
        <f>VLOOKUP(B28,[4]PCS!$Y$1:$AB$65536,4,0)</f>
        <v>0</v>
      </c>
      <c r="AH28" s="169"/>
      <c r="AI28" s="169"/>
      <c r="AJ28" s="169"/>
      <c r="AL28" s="169"/>
      <c r="AM28" s="169"/>
      <c r="AN28" s="169"/>
      <c r="AP28" s="169"/>
      <c r="AQ28" s="169"/>
      <c r="AR28" s="169"/>
      <c r="AT28" s="169"/>
      <c r="AU28" s="169"/>
      <c r="AV28" s="169"/>
      <c r="AX28" s="169"/>
      <c r="AY28" s="169"/>
      <c r="AZ28" s="169"/>
    </row>
    <row r="29" spans="1:52" x14ac:dyDescent="0.25">
      <c r="A29" s="113">
        <v>25</v>
      </c>
      <c r="B29" s="114" t="s">
        <v>461</v>
      </c>
      <c r="C29" s="114" t="s">
        <v>462</v>
      </c>
      <c r="D29" s="113" t="s">
        <v>71</v>
      </c>
      <c r="F29" s="114">
        <v>4900</v>
      </c>
      <c r="G29" s="114">
        <v>0</v>
      </c>
      <c r="H29" s="114">
        <v>0</v>
      </c>
      <c r="J29" s="114">
        <v>5202</v>
      </c>
      <c r="K29" s="114">
        <v>0</v>
      </c>
      <c r="L29" s="114">
        <v>0</v>
      </c>
      <c r="N29" s="114">
        <v>5900</v>
      </c>
      <c r="O29" s="114">
        <v>0</v>
      </c>
      <c r="P29" s="114">
        <v>0</v>
      </c>
      <c r="R29" s="114">
        <v>2600</v>
      </c>
      <c r="S29" s="114">
        <v>0</v>
      </c>
      <c r="T29" s="114">
        <v>0</v>
      </c>
      <c r="V29" s="114">
        <v>6900</v>
      </c>
      <c r="W29" s="114">
        <v>0</v>
      </c>
      <c r="X29" s="114">
        <v>5</v>
      </c>
      <c r="Z29" s="169">
        <v>6300</v>
      </c>
      <c r="AA29" s="169">
        <v>0</v>
      </c>
      <c r="AB29" s="169">
        <v>0</v>
      </c>
      <c r="AC29" s="135">
        <v>4</v>
      </c>
      <c r="AD29" s="169">
        <f>VLOOKUP(B29,[4]PCS!$Y$1:$Z$65536,2,0)</f>
        <v>5900</v>
      </c>
      <c r="AE29" s="169">
        <f>VLOOKUP(B29,[4]PCS!$Y$1:$AA$65536,3,0)</f>
        <v>0</v>
      </c>
      <c r="AF29" s="169">
        <f>VLOOKUP(B29,[4]PCS!$Y$1:$AB$65536,4,0)</f>
        <v>0</v>
      </c>
      <c r="AH29" s="169"/>
      <c r="AI29" s="169"/>
      <c r="AJ29" s="169"/>
      <c r="AL29" s="169"/>
      <c r="AM29" s="169"/>
      <c r="AN29" s="169"/>
      <c r="AP29" s="169"/>
      <c r="AQ29" s="169"/>
      <c r="AR29" s="169"/>
      <c r="AT29" s="169"/>
      <c r="AU29" s="169"/>
      <c r="AV29" s="169"/>
      <c r="AX29" s="169"/>
      <c r="AY29" s="169"/>
      <c r="AZ29" s="169"/>
    </row>
    <row r="30" spans="1:52" x14ac:dyDescent="0.25">
      <c r="A30" s="113">
        <v>26</v>
      </c>
      <c r="B30" s="114" t="s">
        <v>463</v>
      </c>
      <c r="C30" s="114" t="s">
        <v>464</v>
      </c>
      <c r="D30" s="113" t="s">
        <v>71</v>
      </c>
      <c r="F30" s="114">
        <v>5377</v>
      </c>
      <c r="G30" s="114">
        <v>0</v>
      </c>
      <c r="H30" s="114">
        <v>10</v>
      </c>
      <c r="J30" s="114">
        <v>6300</v>
      </c>
      <c r="K30" s="114">
        <v>0</v>
      </c>
      <c r="L30" s="114">
        <v>2</v>
      </c>
      <c r="N30" s="114">
        <v>4350</v>
      </c>
      <c r="O30" s="114">
        <v>0</v>
      </c>
      <c r="P30" s="114">
        <v>0</v>
      </c>
      <c r="R30" s="114">
        <v>3900</v>
      </c>
      <c r="S30" s="114">
        <v>0</v>
      </c>
      <c r="T30" s="114">
        <v>0</v>
      </c>
      <c r="V30" s="114">
        <v>5550</v>
      </c>
      <c r="W30" s="114">
        <v>0</v>
      </c>
      <c r="X30" s="114">
        <v>0</v>
      </c>
      <c r="Z30" s="169">
        <v>5700</v>
      </c>
      <c r="AA30" s="169">
        <v>0</v>
      </c>
      <c r="AB30" s="169">
        <v>0</v>
      </c>
      <c r="AC30" s="135">
        <v>4</v>
      </c>
      <c r="AD30" s="169">
        <f>VLOOKUP(B30,[4]PCS!$Y$1:$Z$65536,2,0)</f>
        <v>5400</v>
      </c>
      <c r="AE30" s="169">
        <f>VLOOKUP(B30,[4]PCS!$Y$1:$AA$65536,3,0)</f>
        <v>0</v>
      </c>
      <c r="AF30" s="169">
        <f>VLOOKUP(B30,[4]PCS!$Y$1:$AB$65536,4,0)</f>
        <v>0</v>
      </c>
      <c r="AH30" s="169"/>
      <c r="AI30" s="169"/>
      <c r="AJ30" s="169"/>
      <c r="AL30" s="169"/>
      <c r="AM30" s="169"/>
      <c r="AN30" s="169"/>
      <c r="AP30" s="169"/>
      <c r="AQ30" s="169"/>
      <c r="AR30" s="169"/>
      <c r="AT30" s="169"/>
      <c r="AU30" s="169"/>
      <c r="AV30" s="169"/>
      <c r="AX30" s="169"/>
      <c r="AY30" s="169"/>
      <c r="AZ30" s="169"/>
    </row>
    <row r="31" spans="1:52" x14ac:dyDescent="0.25">
      <c r="A31" s="113">
        <v>27</v>
      </c>
      <c r="B31" s="114" t="s">
        <v>465</v>
      </c>
      <c r="C31" s="114" t="s">
        <v>466</v>
      </c>
      <c r="D31" s="113" t="s">
        <v>71</v>
      </c>
      <c r="F31" s="114">
        <v>5377</v>
      </c>
      <c r="G31" s="114">
        <v>0</v>
      </c>
      <c r="H31" s="114">
        <v>14</v>
      </c>
      <c r="J31" s="114">
        <v>6240</v>
      </c>
      <c r="K31" s="114">
        <v>60</v>
      </c>
      <c r="L31" s="114">
        <v>2</v>
      </c>
      <c r="N31" s="114">
        <v>4350</v>
      </c>
      <c r="O31" s="114">
        <v>0</v>
      </c>
      <c r="P31" s="114">
        <v>0</v>
      </c>
      <c r="R31" s="114">
        <v>3900</v>
      </c>
      <c r="S31" s="114">
        <v>0</v>
      </c>
      <c r="T31" s="114">
        <v>0</v>
      </c>
      <c r="V31" s="114">
        <v>5550</v>
      </c>
      <c r="W31" s="114">
        <v>0</v>
      </c>
      <c r="X31" s="114">
        <v>0</v>
      </c>
      <c r="Z31" s="169">
        <v>5700</v>
      </c>
      <c r="AA31" s="169">
        <v>0</v>
      </c>
      <c r="AB31" s="169">
        <v>0</v>
      </c>
      <c r="AC31" s="135">
        <v>4</v>
      </c>
      <c r="AD31" s="169">
        <f>VLOOKUP(B31,[4]PCS!$Y$1:$Z$65536,2,0)</f>
        <v>5400</v>
      </c>
      <c r="AE31" s="169">
        <f>VLOOKUP(B31,[4]PCS!$Y$1:$AA$65536,3,0)</f>
        <v>0</v>
      </c>
      <c r="AF31" s="169">
        <f>VLOOKUP(B31,[4]PCS!$Y$1:$AB$65536,4,0)</f>
        <v>0</v>
      </c>
      <c r="AH31" s="169"/>
      <c r="AI31" s="169"/>
      <c r="AJ31" s="169"/>
      <c r="AL31" s="169"/>
      <c r="AM31" s="169"/>
      <c r="AN31" s="169"/>
      <c r="AP31" s="169"/>
      <c r="AQ31" s="169"/>
      <c r="AR31" s="169"/>
      <c r="AT31" s="169"/>
      <c r="AU31" s="169"/>
      <c r="AV31" s="169"/>
      <c r="AX31" s="169"/>
      <c r="AY31" s="169"/>
      <c r="AZ31" s="169"/>
    </row>
    <row r="32" spans="1:52" x14ac:dyDescent="0.25">
      <c r="A32" s="113">
        <v>28</v>
      </c>
      <c r="B32" s="114" t="s">
        <v>467</v>
      </c>
      <c r="C32" s="114" t="s">
        <v>468</v>
      </c>
      <c r="D32" s="113" t="s">
        <v>71</v>
      </c>
      <c r="F32" s="114">
        <v>6200</v>
      </c>
      <c r="G32" s="114">
        <v>0</v>
      </c>
      <c r="H32" s="114">
        <v>0</v>
      </c>
      <c r="J32" s="114">
        <v>6500</v>
      </c>
      <c r="K32" s="114">
        <v>0</v>
      </c>
      <c r="L32" s="114">
        <v>0</v>
      </c>
      <c r="N32" s="114">
        <v>6000</v>
      </c>
      <c r="O32" s="114">
        <v>0</v>
      </c>
      <c r="P32" s="114">
        <v>0</v>
      </c>
      <c r="R32" s="114">
        <v>4500</v>
      </c>
      <c r="S32" s="114">
        <v>0</v>
      </c>
      <c r="T32" s="114">
        <v>0</v>
      </c>
      <c r="V32" s="114">
        <v>7500</v>
      </c>
      <c r="W32" s="114">
        <v>0</v>
      </c>
      <c r="X32" s="114">
        <v>0</v>
      </c>
      <c r="Z32" s="169">
        <v>6500</v>
      </c>
      <c r="AA32" s="169">
        <v>0</v>
      </c>
      <c r="AB32" s="169">
        <v>0</v>
      </c>
      <c r="AC32" s="135">
        <v>4</v>
      </c>
      <c r="AD32" s="169">
        <f>VLOOKUP(B32,[4]PCS!$Y$1:$Z$65536,2,0)</f>
        <v>4800</v>
      </c>
      <c r="AE32" s="169">
        <f>VLOOKUP(B32,[4]PCS!$Y$1:$AA$65536,3,0)</f>
        <v>0</v>
      </c>
      <c r="AF32" s="169">
        <f>VLOOKUP(B32,[4]PCS!$Y$1:$AB$65536,4,0)</f>
        <v>0</v>
      </c>
      <c r="AH32" s="169"/>
      <c r="AI32" s="169"/>
      <c r="AJ32" s="169"/>
      <c r="AL32" s="169"/>
      <c r="AM32" s="169"/>
      <c r="AN32" s="169"/>
      <c r="AP32" s="169"/>
      <c r="AQ32" s="169"/>
      <c r="AR32" s="169"/>
      <c r="AT32" s="169"/>
      <c r="AU32" s="169"/>
      <c r="AV32" s="169"/>
      <c r="AX32" s="169"/>
      <c r="AY32" s="169"/>
      <c r="AZ32" s="169"/>
    </row>
    <row r="33" spans="1:52" x14ac:dyDescent="0.25">
      <c r="A33" s="113">
        <v>29</v>
      </c>
      <c r="B33" s="114" t="s">
        <v>469</v>
      </c>
      <c r="C33" s="114" t="s">
        <v>470</v>
      </c>
      <c r="D33" s="113" t="s">
        <v>71</v>
      </c>
      <c r="F33" s="114">
        <v>6200</v>
      </c>
      <c r="G33" s="114">
        <v>0</v>
      </c>
      <c r="H33" s="114">
        <v>0</v>
      </c>
      <c r="J33" s="114">
        <v>6700</v>
      </c>
      <c r="K33" s="114">
        <v>0</v>
      </c>
      <c r="L33" s="114">
        <v>0</v>
      </c>
      <c r="N33" s="114">
        <v>5800</v>
      </c>
      <c r="O33" s="114">
        <v>0</v>
      </c>
      <c r="P33" s="114">
        <v>0</v>
      </c>
      <c r="R33" s="114">
        <v>4600</v>
      </c>
      <c r="S33" s="114">
        <v>0</v>
      </c>
      <c r="T33" s="114">
        <v>0</v>
      </c>
      <c r="V33" s="114">
        <v>7400</v>
      </c>
      <c r="W33" s="114">
        <v>0</v>
      </c>
      <c r="X33" s="114">
        <v>0</v>
      </c>
      <c r="Z33" s="169">
        <v>6700</v>
      </c>
      <c r="AA33" s="169">
        <v>0</v>
      </c>
      <c r="AB33" s="169">
        <v>0</v>
      </c>
      <c r="AC33" s="135">
        <v>4</v>
      </c>
      <c r="AD33" s="169">
        <f>VLOOKUP(B33,[4]PCS!$Y$1:$Z$65536,2,0)</f>
        <v>6200</v>
      </c>
      <c r="AE33" s="169">
        <f>VLOOKUP(B33,[4]PCS!$Y$1:$AA$65536,3,0)</f>
        <v>0</v>
      </c>
      <c r="AF33" s="169">
        <f>VLOOKUP(B33,[4]PCS!$Y$1:$AB$65536,4,0)</f>
        <v>0</v>
      </c>
      <c r="AH33" s="169"/>
      <c r="AI33" s="169"/>
      <c r="AJ33" s="169"/>
      <c r="AL33" s="169"/>
      <c r="AM33" s="169"/>
      <c r="AN33" s="169"/>
      <c r="AP33" s="169"/>
      <c r="AQ33" s="169"/>
      <c r="AR33" s="169"/>
      <c r="AT33" s="169"/>
      <c r="AU33" s="169"/>
      <c r="AV33" s="169"/>
      <c r="AX33" s="169"/>
      <c r="AY33" s="169"/>
      <c r="AZ33" s="169"/>
    </row>
    <row r="34" spans="1:52" x14ac:dyDescent="0.25">
      <c r="A34" s="113">
        <v>30</v>
      </c>
      <c r="B34" s="114" t="s">
        <v>471</v>
      </c>
      <c r="C34" s="114" t="s">
        <v>472</v>
      </c>
      <c r="D34" s="113" t="s">
        <v>71</v>
      </c>
      <c r="F34" s="114">
        <v>7379</v>
      </c>
      <c r="G34" s="114">
        <v>0</v>
      </c>
      <c r="H34" s="114">
        <v>1</v>
      </c>
      <c r="J34" s="114">
        <v>4770</v>
      </c>
      <c r="K34" s="114">
        <v>0</v>
      </c>
      <c r="L34" s="114">
        <v>0</v>
      </c>
      <c r="N34" s="114">
        <v>3960</v>
      </c>
      <c r="O34" s="114">
        <v>0</v>
      </c>
      <c r="P34" s="114">
        <v>0</v>
      </c>
      <c r="R34" s="114">
        <v>4200</v>
      </c>
      <c r="S34" s="114">
        <v>0</v>
      </c>
      <c r="T34" s="114">
        <v>0</v>
      </c>
      <c r="V34" s="114">
        <v>6420</v>
      </c>
      <c r="W34" s="114">
        <v>0</v>
      </c>
      <c r="X34" s="114">
        <v>0</v>
      </c>
      <c r="Z34" s="169">
        <v>4727</v>
      </c>
      <c r="AA34" s="169">
        <v>0</v>
      </c>
      <c r="AB34" s="169">
        <v>1</v>
      </c>
      <c r="AC34" s="135">
        <v>4</v>
      </c>
      <c r="AD34" s="169">
        <f>VLOOKUP(B34,[4]PCS!$Y$1:$Z$65536,2,0)</f>
        <v>5400</v>
      </c>
      <c r="AE34" s="169">
        <f>VLOOKUP(B34,[4]PCS!$Y$1:$AA$65536,3,0)</f>
        <v>0</v>
      </c>
      <c r="AF34" s="169">
        <f>VLOOKUP(B34,[4]PCS!$Y$1:$AB$65536,4,0)</f>
        <v>0</v>
      </c>
      <c r="AH34" s="169"/>
      <c r="AI34" s="169"/>
      <c r="AJ34" s="169"/>
      <c r="AL34" s="169"/>
      <c r="AM34" s="169"/>
      <c r="AN34" s="169"/>
      <c r="AP34" s="169"/>
      <c r="AQ34" s="169"/>
      <c r="AR34" s="169"/>
      <c r="AT34" s="169"/>
      <c r="AU34" s="169"/>
      <c r="AV34" s="169"/>
      <c r="AX34" s="169"/>
      <c r="AY34" s="169"/>
      <c r="AZ34" s="169"/>
    </row>
    <row r="35" spans="1:52" x14ac:dyDescent="0.25">
      <c r="A35" s="113">
        <v>31</v>
      </c>
      <c r="B35" s="114" t="s">
        <v>473</v>
      </c>
      <c r="C35" s="114" t="s">
        <v>474</v>
      </c>
      <c r="D35" s="113" t="s">
        <v>71</v>
      </c>
      <c r="F35" s="114">
        <v>7400</v>
      </c>
      <c r="G35" s="114">
        <v>0</v>
      </c>
      <c r="H35" s="114">
        <v>0</v>
      </c>
      <c r="J35" s="114">
        <v>6000</v>
      </c>
      <c r="K35" s="114">
        <v>0</v>
      </c>
      <c r="L35" s="114">
        <v>0</v>
      </c>
      <c r="N35" s="114">
        <v>4800</v>
      </c>
      <c r="O35" s="114">
        <v>0</v>
      </c>
      <c r="P35" s="114">
        <v>0</v>
      </c>
      <c r="R35" s="114">
        <v>4800</v>
      </c>
      <c r="S35" s="114">
        <v>0</v>
      </c>
      <c r="T35" s="114">
        <v>0</v>
      </c>
      <c r="V35" s="114">
        <v>5400</v>
      </c>
      <c r="W35" s="114">
        <v>0</v>
      </c>
      <c r="X35" s="114">
        <v>0</v>
      </c>
      <c r="Z35" s="169">
        <v>3800</v>
      </c>
      <c r="AA35" s="169">
        <v>0</v>
      </c>
      <c r="AB35" s="169">
        <v>0</v>
      </c>
      <c r="AC35" s="135">
        <v>4</v>
      </c>
      <c r="AD35" s="169">
        <f>VLOOKUP(B35,[4]PCS!$Y$1:$Z$65536,2,0)</f>
        <v>4400</v>
      </c>
      <c r="AE35" s="169">
        <f>VLOOKUP(B35,[4]PCS!$Y$1:$AA$65536,3,0)</f>
        <v>0</v>
      </c>
      <c r="AF35" s="169">
        <f>VLOOKUP(B35,[4]PCS!$Y$1:$AB$65536,4,0)</f>
        <v>0</v>
      </c>
      <c r="AH35" s="169"/>
      <c r="AI35" s="169"/>
      <c r="AJ35" s="169"/>
      <c r="AL35" s="169"/>
      <c r="AM35" s="169"/>
      <c r="AN35" s="169"/>
      <c r="AP35" s="169"/>
      <c r="AQ35" s="169"/>
      <c r="AR35" s="169"/>
      <c r="AT35" s="169"/>
      <c r="AU35" s="169"/>
      <c r="AV35" s="169"/>
      <c r="AX35" s="169"/>
      <c r="AY35" s="169"/>
      <c r="AZ35" s="169"/>
    </row>
    <row r="36" spans="1:52" x14ac:dyDescent="0.25">
      <c r="A36" s="113">
        <v>32</v>
      </c>
      <c r="B36" s="114" t="s">
        <v>475</v>
      </c>
      <c r="C36" s="114" t="s">
        <v>476</v>
      </c>
      <c r="D36" s="113" t="s">
        <v>71</v>
      </c>
      <c r="F36" s="114">
        <v>7400</v>
      </c>
      <c r="G36" s="114">
        <v>0</v>
      </c>
      <c r="H36" s="114">
        <v>0</v>
      </c>
      <c r="J36" s="114">
        <v>6000</v>
      </c>
      <c r="K36" s="114">
        <v>0</v>
      </c>
      <c r="L36" s="114">
        <v>0</v>
      </c>
      <c r="N36" s="114">
        <v>4800</v>
      </c>
      <c r="O36" s="114">
        <v>0</v>
      </c>
      <c r="P36" s="114">
        <v>0</v>
      </c>
      <c r="R36" s="114">
        <v>4800</v>
      </c>
      <c r="S36" s="114">
        <v>0</v>
      </c>
      <c r="T36" s="114">
        <v>0</v>
      </c>
      <c r="V36" s="114">
        <v>5400</v>
      </c>
      <c r="W36" s="114">
        <v>0</v>
      </c>
      <c r="X36" s="114">
        <v>0</v>
      </c>
      <c r="Z36" s="169">
        <v>3400</v>
      </c>
      <c r="AA36" s="169">
        <v>0</v>
      </c>
      <c r="AB36" s="169">
        <v>0</v>
      </c>
      <c r="AC36" s="135">
        <v>4</v>
      </c>
      <c r="AD36" s="169">
        <f>VLOOKUP(B36,[4]PCS!$Y$1:$Z$65536,2,0)</f>
        <v>4400</v>
      </c>
      <c r="AE36" s="169">
        <f>VLOOKUP(B36,[4]PCS!$Y$1:$AA$65536,3,0)</f>
        <v>0</v>
      </c>
      <c r="AF36" s="169">
        <f>VLOOKUP(B36,[4]PCS!$Y$1:$AB$65536,4,0)</f>
        <v>0</v>
      </c>
      <c r="AH36" s="169"/>
      <c r="AI36" s="169"/>
      <c r="AJ36" s="169"/>
      <c r="AL36" s="169"/>
      <c r="AM36" s="169"/>
      <c r="AN36" s="169"/>
      <c r="AP36" s="169"/>
      <c r="AQ36" s="169"/>
      <c r="AR36" s="169"/>
      <c r="AT36" s="169"/>
      <c r="AU36" s="169"/>
      <c r="AV36" s="169"/>
      <c r="AX36" s="169"/>
      <c r="AY36" s="169"/>
      <c r="AZ36" s="169"/>
    </row>
    <row r="37" spans="1:52" x14ac:dyDescent="0.25">
      <c r="A37" s="113">
        <v>33</v>
      </c>
      <c r="B37" s="114" t="s">
        <v>477</v>
      </c>
      <c r="C37" s="114" t="s">
        <v>478</v>
      </c>
      <c r="D37" s="113" t="s">
        <v>71</v>
      </c>
      <c r="F37" s="114">
        <v>7500</v>
      </c>
      <c r="G37" s="114">
        <v>0</v>
      </c>
      <c r="H37" s="114">
        <v>0</v>
      </c>
      <c r="J37" s="114">
        <v>7800</v>
      </c>
      <c r="K37" s="114">
        <v>0</v>
      </c>
      <c r="L37" s="114">
        <v>0</v>
      </c>
      <c r="N37" s="114">
        <v>7000</v>
      </c>
      <c r="O37" s="114">
        <v>0</v>
      </c>
      <c r="P37" s="114">
        <v>0</v>
      </c>
      <c r="R37" s="114">
        <v>6626</v>
      </c>
      <c r="S37" s="114">
        <v>0</v>
      </c>
      <c r="T37" s="114">
        <v>0</v>
      </c>
      <c r="V37" s="114">
        <v>10100</v>
      </c>
      <c r="W37" s="114">
        <v>0</v>
      </c>
      <c r="X37" s="114">
        <v>0</v>
      </c>
      <c r="Z37" s="169">
        <v>8200</v>
      </c>
      <c r="AA37" s="169">
        <v>0</v>
      </c>
      <c r="AB37" s="169">
        <v>0</v>
      </c>
      <c r="AC37" s="135">
        <v>4</v>
      </c>
      <c r="AD37" s="169">
        <f>VLOOKUP(B37,[4]PCS!$Y$1:$Z$65536,2,0)</f>
        <v>9800</v>
      </c>
      <c r="AE37" s="169">
        <f>VLOOKUP(B37,[4]PCS!$Y$1:$AA$65536,3,0)</f>
        <v>0</v>
      </c>
      <c r="AF37" s="169">
        <f>VLOOKUP(B37,[4]PCS!$Y$1:$AB$65536,4,0)</f>
        <v>0</v>
      </c>
      <c r="AH37" s="169"/>
      <c r="AI37" s="169"/>
      <c r="AJ37" s="169"/>
      <c r="AL37" s="169"/>
      <c r="AM37" s="169"/>
      <c r="AN37" s="169"/>
      <c r="AP37" s="169"/>
      <c r="AQ37" s="169"/>
      <c r="AR37" s="169"/>
      <c r="AT37" s="169"/>
      <c r="AU37" s="169"/>
      <c r="AV37" s="169"/>
      <c r="AX37" s="169"/>
      <c r="AY37" s="169"/>
      <c r="AZ37" s="169"/>
    </row>
    <row r="38" spans="1:52" x14ac:dyDescent="0.25">
      <c r="A38" s="113">
        <v>34</v>
      </c>
      <c r="B38" s="114" t="s">
        <v>479</v>
      </c>
      <c r="C38" s="114" t="s">
        <v>480</v>
      </c>
      <c r="D38" s="113" t="s">
        <v>71</v>
      </c>
      <c r="F38" s="114">
        <v>7800</v>
      </c>
      <c r="G38" s="114">
        <v>0</v>
      </c>
      <c r="H38" s="114">
        <v>0</v>
      </c>
      <c r="J38" s="114">
        <v>5600</v>
      </c>
      <c r="K38" s="114">
        <v>0</v>
      </c>
      <c r="L38" s="114">
        <v>0</v>
      </c>
      <c r="N38" s="114">
        <v>5000</v>
      </c>
      <c r="O38" s="114">
        <v>0</v>
      </c>
      <c r="P38" s="114">
        <v>0</v>
      </c>
      <c r="R38" s="114">
        <v>5000</v>
      </c>
      <c r="S38" s="114">
        <v>0</v>
      </c>
      <c r="T38" s="114">
        <v>0</v>
      </c>
      <c r="V38" s="114">
        <v>5000</v>
      </c>
      <c r="W38" s="114">
        <v>0</v>
      </c>
      <c r="X38" s="114">
        <v>0</v>
      </c>
      <c r="Z38" s="169">
        <v>3400</v>
      </c>
      <c r="AA38" s="169">
        <v>0</v>
      </c>
      <c r="AB38" s="169">
        <v>0</v>
      </c>
      <c r="AC38" s="135">
        <v>4</v>
      </c>
      <c r="AD38" s="169">
        <f>VLOOKUP(B38,[4]PCS!$Y$1:$Z$65536,2,0)</f>
        <v>4800</v>
      </c>
      <c r="AE38" s="169">
        <f>VLOOKUP(B38,[4]PCS!$Y$1:$AA$65536,3,0)</f>
        <v>0</v>
      </c>
      <c r="AF38" s="169">
        <f>VLOOKUP(B38,[4]PCS!$Y$1:$AB$65536,4,0)</f>
        <v>0</v>
      </c>
      <c r="AH38" s="169"/>
      <c r="AI38" s="169"/>
      <c r="AJ38" s="169"/>
      <c r="AL38" s="169"/>
      <c r="AM38" s="169"/>
      <c r="AN38" s="169"/>
      <c r="AP38" s="169"/>
      <c r="AQ38" s="169"/>
      <c r="AR38" s="169"/>
      <c r="AT38" s="169"/>
      <c r="AU38" s="169"/>
      <c r="AV38" s="169"/>
      <c r="AX38" s="169"/>
      <c r="AY38" s="169"/>
      <c r="AZ38" s="169"/>
    </row>
    <row r="39" spans="1:52" x14ac:dyDescent="0.25">
      <c r="A39" s="113">
        <v>35</v>
      </c>
      <c r="B39" s="114" t="s">
        <v>481</v>
      </c>
      <c r="C39" s="114" t="s">
        <v>482</v>
      </c>
      <c r="D39" s="113" t="s">
        <v>71</v>
      </c>
      <c r="F39" s="114">
        <v>7800</v>
      </c>
      <c r="G39" s="114">
        <v>0</v>
      </c>
      <c r="H39" s="114">
        <v>0</v>
      </c>
      <c r="J39" s="114">
        <v>5600</v>
      </c>
      <c r="K39" s="114">
        <v>0</v>
      </c>
      <c r="L39" s="114">
        <v>0</v>
      </c>
      <c r="N39" s="114">
        <v>5000</v>
      </c>
      <c r="O39" s="114">
        <v>0</v>
      </c>
      <c r="P39" s="114">
        <v>0</v>
      </c>
      <c r="R39" s="114">
        <v>5000</v>
      </c>
      <c r="S39" s="114">
        <v>0</v>
      </c>
      <c r="T39" s="114">
        <v>0</v>
      </c>
      <c r="V39" s="114">
        <v>5000</v>
      </c>
      <c r="W39" s="114">
        <v>0</v>
      </c>
      <c r="X39" s="114">
        <v>0</v>
      </c>
      <c r="Z39" s="169">
        <v>3400</v>
      </c>
      <c r="AA39" s="169">
        <v>0</v>
      </c>
      <c r="AB39" s="169">
        <v>0</v>
      </c>
      <c r="AC39" s="135">
        <v>4</v>
      </c>
      <c r="AD39" s="169">
        <f>VLOOKUP(B39,[4]PCS!$Y$1:$Z$65536,2,0)</f>
        <v>4800</v>
      </c>
      <c r="AE39" s="169">
        <f>VLOOKUP(B39,[4]PCS!$Y$1:$AA$65536,3,0)</f>
        <v>0</v>
      </c>
      <c r="AF39" s="169">
        <f>VLOOKUP(B39,[4]PCS!$Y$1:$AB$65536,4,0)</f>
        <v>0</v>
      </c>
      <c r="AH39" s="169"/>
      <c r="AI39" s="169"/>
      <c r="AJ39" s="169"/>
      <c r="AL39" s="169"/>
      <c r="AM39" s="169"/>
      <c r="AN39" s="169"/>
      <c r="AP39" s="169"/>
      <c r="AQ39" s="169"/>
      <c r="AR39" s="169"/>
      <c r="AT39" s="169"/>
      <c r="AU39" s="169"/>
      <c r="AV39" s="169"/>
      <c r="AX39" s="169"/>
      <c r="AY39" s="169"/>
      <c r="AZ39" s="169"/>
    </row>
    <row r="40" spans="1:52" x14ac:dyDescent="0.25">
      <c r="A40" s="113">
        <v>36</v>
      </c>
      <c r="B40" s="114" t="s">
        <v>483</v>
      </c>
      <c r="C40" s="114" t="s">
        <v>484</v>
      </c>
      <c r="D40" s="113" t="s">
        <v>71</v>
      </c>
      <c r="F40" s="114">
        <v>8640</v>
      </c>
      <c r="G40" s="114">
        <v>0</v>
      </c>
      <c r="H40" s="114">
        <v>0</v>
      </c>
      <c r="J40" s="114">
        <v>8520</v>
      </c>
      <c r="K40" s="114">
        <v>0</v>
      </c>
      <c r="L40" s="114">
        <v>0</v>
      </c>
      <c r="N40" s="114">
        <v>9840</v>
      </c>
      <c r="O40" s="114">
        <v>0</v>
      </c>
      <c r="P40" s="114">
        <v>0</v>
      </c>
      <c r="R40" s="114">
        <v>5760</v>
      </c>
      <c r="S40" s="114">
        <v>0</v>
      </c>
      <c r="T40" s="114">
        <v>0</v>
      </c>
      <c r="V40" s="114">
        <v>8280</v>
      </c>
      <c r="W40" s="114">
        <v>0</v>
      </c>
      <c r="X40" s="114">
        <v>0</v>
      </c>
      <c r="Z40" s="169">
        <v>8280</v>
      </c>
      <c r="AA40" s="169">
        <v>0</v>
      </c>
      <c r="AB40" s="169">
        <v>0</v>
      </c>
      <c r="AC40" s="135">
        <v>4</v>
      </c>
      <c r="AD40" s="169">
        <f>VLOOKUP(B40,[4]PCS!$Y$1:$Z$65536,2,0)</f>
        <v>8160</v>
      </c>
      <c r="AE40" s="169">
        <f>VLOOKUP(B40,[4]PCS!$Y$1:$AA$65536,3,0)</f>
        <v>0</v>
      </c>
      <c r="AF40" s="169">
        <f>VLOOKUP(B40,[4]PCS!$Y$1:$AB$65536,4,0)</f>
        <v>0</v>
      </c>
      <c r="AH40" s="169"/>
      <c r="AI40" s="169"/>
      <c r="AJ40" s="169"/>
      <c r="AL40" s="169"/>
      <c r="AM40" s="169"/>
      <c r="AN40" s="169"/>
      <c r="AP40" s="169"/>
      <c r="AQ40" s="169"/>
      <c r="AR40" s="169"/>
      <c r="AT40" s="169"/>
      <c r="AU40" s="169"/>
      <c r="AV40" s="169"/>
      <c r="AX40" s="169"/>
      <c r="AY40" s="169"/>
      <c r="AZ40" s="169"/>
    </row>
    <row r="41" spans="1:52" x14ac:dyDescent="0.25">
      <c r="A41" s="113">
        <v>37</v>
      </c>
      <c r="B41" s="114" t="s">
        <v>485</v>
      </c>
      <c r="C41" s="114" t="s">
        <v>486</v>
      </c>
      <c r="D41" s="113" t="s">
        <v>71</v>
      </c>
      <c r="F41" s="114">
        <v>8640</v>
      </c>
      <c r="G41" s="114">
        <v>0</v>
      </c>
      <c r="H41" s="114">
        <v>0</v>
      </c>
      <c r="J41" s="114">
        <v>8520</v>
      </c>
      <c r="K41" s="114">
        <v>0</v>
      </c>
      <c r="L41" s="114">
        <v>0</v>
      </c>
      <c r="N41" s="114">
        <v>9840</v>
      </c>
      <c r="O41" s="114">
        <v>0</v>
      </c>
      <c r="P41" s="114">
        <v>0</v>
      </c>
      <c r="R41" s="114">
        <v>5400</v>
      </c>
      <c r="S41" s="114">
        <v>0</v>
      </c>
      <c r="T41" s="114">
        <v>0</v>
      </c>
      <c r="V41" s="114">
        <v>8020</v>
      </c>
      <c r="W41" s="114">
        <v>0</v>
      </c>
      <c r="X41" s="114">
        <v>0</v>
      </c>
      <c r="Z41" s="169">
        <v>8280</v>
      </c>
      <c r="AA41" s="169">
        <v>0</v>
      </c>
      <c r="AB41" s="169">
        <v>0</v>
      </c>
      <c r="AC41" s="135">
        <v>4</v>
      </c>
      <c r="AD41" s="169">
        <f>VLOOKUP(B41,[4]PCS!$Y$1:$Z$65536,2,0)</f>
        <v>8160</v>
      </c>
      <c r="AE41" s="169">
        <f>VLOOKUP(B41,[4]PCS!$Y$1:$AA$65536,3,0)</f>
        <v>0</v>
      </c>
      <c r="AF41" s="169">
        <f>VLOOKUP(B41,[4]PCS!$Y$1:$AB$65536,4,0)</f>
        <v>0</v>
      </c>
      <c r="AH41" s="169"/>
      <c r="AI41" s="169"/>
      <c r="AJ41" s="169"/>
      <c r="AL41" s="169"/>
      <c r="AM41" s="169"/>
      <c r="AN41" s="169"/>
      <c r="AP41" s="169"/>
      <c r="AQ41" s="169"/>
      <c r="AR41" s="169"/>
      <c r="AT41" s="169"/>
      <c r="AU41" s="169"/>
      <c r="AV41" s="169"/>
      <c r="AX41" s="169"/>
      <c r="AY41" s="169"/>
      <c r="AZ41" s="169"/>
    </row>
    <row r="42" spans="1:52" x14ac:dyDescent="0.25">
      <c r="A42" s="113">
        <v>38</v>
      </c>
      <c r="B42" s="114" t="s">
        <v>487</v>
      </c>
      <c r="C42" s="114" t="s">
        <v>488</v>
      </c>
      <c r="D42" s="113" t="s">
        <v>71</v>
      </c>
      <c r="F42" s="114">
        <v>8815</v>
      </c>
      <c r="G42" s="114">
        <v>5</v>
      </c>
      <c r="H42" s="114">
        <v>0</v>
      </c>
      <c r="J42" s="114">
        <v>8400</v>
      </c>
      <c r="K42" s="114">
        <v>0</v>
      </c>
      <c r="L42" s="114">
        <v>0</v>
      </c>
      <c r="N42" s="114">
        <v>9330</v>
      </c>
      <c r="O42" s="114">
        <v>0</v>
      </c>
      <c r="P42" s="114">
        <v>0</v>
      </c>
      <c r="R42" s="114">
        <v>6120</v>
      </c>
      <c r="S42" s="114">
        <v>0</v>
      </c>
      <c r="T42" s="114">
        <v>0</v>
      </c>
      <c r="V42" s="114">
        <v>8280</v>
      </c>
      <c r="W42" s="114">
        <v>0</v>
      </c>
      <c r="X42" s="114">
        <v>0</v>
      </c>
      <c r="Z42" s="169">
        <v>7996</v>
      </c>
      <c r="AA42" s="169">
        <v>0</v>
      </c>
      <c r="AB42" s="169">
        <v>2</v>
      </c>
      <c r="AC42" s="135">
        <v>4</v>
      </c>
      <c r="AD42" s="169">
        <f>VLOOKUP(B42,[4]PCS!$Y$1:$Z$65536,2,0)</f>
        <v>8520</v>
      </c>
      <c r="AE42" s="169">
        <f>VLOOKUP(B42,[4]PCS!$Y$1:$AA$65536,3,0)</f>
        <v>0</v>
      </c>
      <c r="AF42" s="169">
        <f>VLOOKUP(B42,[4]PCS!$Y$1:$AB$65536,4,0)</f>
        <v>0</v>
      </c>
      <c r="AH42" s="169"/>
      <c r="AI42" s="169"/>
      <c r="AJ42" s="169"/>
      <c r="AL42" s="169"/>
      <c r="AM42" s="169"/>
      <c r="AN42" s="169"/>
      <c r="AP42" s="169"/>
      <c r="AQ42" s="169"/>
      <c r="AR42" s="169"/>
      <c r="AT42" s="169"/>
      <c r="AU42" s="169"/>
      <c r="AV42" s="169"/>
      <c r="AX42" s="169"/>
      <c r="AY42" s="169"/>
      <c r="AZ42" s="169"/>
    </row>
    <row r="43" spans="1:52" x14ac:dyDescent="0.25">
      <c r="A43" s="113">
        <v>39</v>
      </c>
      <c r="B43" s="114" t="s">
        <v>489</v>
      </c>
      <c r="C43" s="114" t="s">
        <v>490</v>
      </c>
      <c r="D43" s="113" t="s">
        <v>71</v>
      </c>
      <c r="F43" s="114">
        <v>10800</v>
      </c>
      <c r="G43" s="114">
        <v>0</v>
      </c>
      <c r="H43" s="114">
        <v>0</v>
      </c>
      <c r="J43" s="114">
        <v>11300</v>
      </c>
      <c r="K43" s="114">
        <v>0</v>
      </c>
      <c r="L43" s="114">
        <v>0</v>
      </c>
      <c r="N43" s="114">
        <v>10200</v>
      </c>
      <c r="O43" s="114">
        <v>0</v>
      </c>
      <c r="P43" s="114">
        <v>0</v>
      </c>
      <c r="R43" s="114">
        <v>6796</v>
      </c>
      <c r="S43" s="114">
        <v>0</v>
      </c>
      <c r="T43" s="114">
        <v>0</v>
      </c>
      <c r="V43" s="114">
        <v>10100</v>
      </c>
      <c r="W43" s="114">
        <v>0</v>
      </c>
      <c r="X43" s="114">
        <v>0</v>
      </c>
      <c r="Z43" s="169">
        <v>9700</v>
      </c>
      <c r="AA43" s="169">
        <v>0</v>
      </c>
      <c r="AB43" s="169">
        <v>1</v>
      </c>
      <c r="AC43" s="135">
        <v>4</v>
      </c>
      <c r="AD43" s="169">
        <f>VLOOKUP(B43,[4]PCS!$Y$1:$Z$65536,2,0)</f>
        <v>11100</v>
      </c>
      <c r="AE43" s="169">
        <f>VLOOKUP(B43,[4]PCS!$Y$1:$AA$65536,3,0)</f>
        <v>0</v>
      </c>
      <c r="AF43" s="169">
        <f>VLOOKUP(B43,[4]PCS!$Y$1:$AB$65536,4,0)</f>
        <v>0</v>
      </c>
      <c r="AH43" s="169"/>
      <c r="AI43" s="169"/>
      <c r="AJ43" s="169"/>
      <c r="AL43" s="169"/>
      <c r="AM43" s="169"/>
      <c r="AN43" s="169"/>
      <c r="AP43" s="169"/>
      <c r="AQ43" s="169"/>
      <c r="AR43" s="169"/>
      <c r="AT43" s="169"/>
      <c r="AU43" s="169"/>
      <c r="AV43" s="169"/>
      <c r="AX43" s="169"/>
      <c r="AY43" s="169"/>
      <c r="AZ43" s="169"/>
    </row>
    <row r="44" spans="1:52" x14ac:dyDescent="0.25">
      <c r="A44" s="113">
        <v>40</v>
      </c>
      <c r="B44" s="114" t="s">
        <v>491</v>
      </c>
      <c r="C44" s="114" t="s">
        <v>492</v>
      </c>
      <c r="D44" s="113" t="s">
        <v>71</v>
      </c>
      <c r="F44" s="114">
        <v>10900</v>
      </c>
      <c r="G44" s="114">
        <v>0</v>
      </c>
      <c r="H44" s="114">
        <v>0</v>
      </c>
      <c r="J44" s="114">
        <v>11200</v>
      </c>
      <c r="K44" s="114">
        <v>0</v>
      </c>
      <c r="L44" s="114">
        <v>0</v>
      </c>
      <c r="N44" s="114">
        <v>10300</v>
      </c>
      <c r="O44" s="114">
        <v>0</v>
      </c>
      <c r="P44" s="114">
        <v>0</v>
      </c>
      <c r="R44" s="114">
        <v>7100</v>
      </c>
      <c r="S44" s="114">
        <v>0</v>
      </c>
      <c r="T44" s="114">
        <v>0</v>
      </c>
      <c r="V44" s="114">
        <v>9700</v>
      </c>
      <c r="W44" s="114">
        <v>0</v>
      </c>
      <c r="X44" s="114">
        <v>0</v>
      </c>
      <c r="Z44" s="169">
        <v>9500</v>
      </c>
      <c r="AA44" s="169">
        <v>0</v>
      </c>
      <c r="AB44" s="169">
        <v>0</v>
      </c>
      <c r="AC44" s="135">
        <v>4</v>
      </c>
      <c r="AD44" s="169">
        <f>VLOOKUP(B44,[4]PCS!$Y$1:$Z$65536,2,0)</f>
        <v>12556</v>
      </c>
      <c r="AE44" s="169">
        <f>VLOOKUP(B44,[4]PCS!$Y$1:$AA$65536,3,0)</f>
        <v>0</v>
      </c>
      <c r="AF44" s="169">
        <f>VLOOKUP(B44,[4]PCS!$Y$1:$AB$65536,4,0)</f>
        <v>0</v>
      </c>
      <c r="AH44" s="169"/>
      <c r="AI44" s="169"/>
      <c r="AJ44" s="169"/>
      <c r="AL44" s="169"/>
      <c r="AM44" s="169"/>
      <c r="AN44" s="169"/>
      <c r="AP44" s="169"/>
      <c r="AQ44" s="169"/>
      <c r="AR44" s="169"/>
      <c r="AT44" s="169"/>
      <c r="AU44" s="169"/>
      <c r="AV44" s="169"/>
      <c r="AX44" s="169"/>
      <c r="AY44" s="169"/>
      <c r="AZ44" s="169"/>
    </row>
    <row r="45" spans="1:52" x14ac:dyDescent="0.25">
      <c r="A45" s="113">
        <v>41</v>
      </c>
      <c r="B45" s="114" t="s">
        <v>493</v>
      </c>
      <c r="C45" s="114" t="s">
        <v>494</v>
      </c>
      <c r="D45" s="113" t="s">
        <v>71</v>
      </c>
      <c r="F45" s="114">
        <v>12800</v>
      </c>
      <c r="G45" s="114">
        <v>0</v>
      </c>
      <c r="H45" s="114">
        <v>0</v>
      </c>
      <c r="J45" s="114">
        <v>12600</v>
      </c>
      <c r="K45" s="114">
        <v>0</v>
      </c>
      <c r="L45" s="114">
        <v>0</v>
      </c>
      <c r="N45" s="114">
        <v>11100</v>
      </c>
      <c r="O45" s="114">
        <v>0</v>
      </c>
      <c r="P45" s="114">
        <v>0</v>
      </c>
      <c r="R45" s="114">
        <v>8500</v>
      </c>
      <c r="S45" s="114">
        <v>0</v>
      </c>
      <c r="T45" s="114">
        <v>0</v>
      </c>
      <c r="V45" s="114">
        <v>14600</v>
      </c>
      <c r="W45" s="114">
        <v>0</v>
      </c>
      <c r="X45" s="114">
        <v>0</v>
      </c>
      <c r="Z45" s="169">
        <v>11362</v>
      </c>
      <c r="AA45" s="169">
        <v>0</v>
      </c>
      <c r="AB45" s="169">
        <v>0</v>
      </c>
      <c r="AC45" s="135">
        <v>4</v>
      </c>
      <c r="AD45" s="169"/>
      <c r="AE45" s="169"/>
      <c r="AF45" s="169"/>
      <c r="AH45" s="169"/>
      <c r="AI45" s="169"/>
      <c r="AJ45" s="169"/>
      <c r="AL45" s="169"/>
      <c r="AM45" s="169"/>
      <c r="AN45" s="169"/>
      <c r="AP45" s="169"/>
      <c r="AQ45" s="169"/>
      <c r="AR45" s="169"/>
      <c r="AT45" s="169"/>
      <c r="AU45" s="169"/>
      <c r="AV45" s="169"/>
      <c r="AX45" s="169"/>
      <c r="AY45" s="169"/>
      <c r="AZ45" s="169"/>
    </row>
    <row r="46" spans="1:52" x14ac:dyDescent="0.25">
      <c r="A46" s="113">
        <v>42</v>
      </c>
      <c r="B46" s="125" t="s">
        <v>504</v>
      </c>
      <c r="C46" s="125" t="s">
        <v>503</v>
      </c>
      <c r="D46" s="113" t="s">
        <v>71</v>
      </c>
      <c r="F46" s="115"/>
      <c r="G46" s="115"/>
      <c r="H46" s="115"/>
      <c r="J46" s="115"/>
      <c r="K46" s="115"/>
      <c r="L46" s="115"/>
      <c r="N46" s="115">
        <v>10</v>
      </c>
      <c r="O46" s="115">
        <v>0</v>
      </c>
      <c r="P46" s="115">
        <v>0</v>
      </c>
      <c r="R46" s="115"/>
      <c r="S46" s="115"/>
      <c r="T46" s="115"/>
      <c r="V46" s="115"/>
      <c r="W46" s="115"/>
      <c r="X46" s="115"/>
      <c r="Z46" s="169"/>
      <c r="AA46" s="169"/>
      <c r="AB46" s="169"/>
      <c r="AC46" s="135">
        <v>4</v>
      </c>
      <c r="AD46" s="169"/>
      <c r="AE46" s="169"/>
      <c r="AF46" s="169"/>
      <c r="AH46" s="169"/>
      <c r="AI46" s="169"/>
      <c r="AJ46" s="169"/>
      <c r="AL46" s="169"/>
      <c r="AM46" s="169"/>
      <c r="AN46" s="169"/>
      <c r="AP46" s="169"/>
      <c r="AQ46" s="169"/>
      <c r="AR46" s="169"/>
      <c r="AT46" s="169"/>
      <c r="AU46" s="169"/>
      <c r="AV46" s="169"/>
      <c r="AX46" s="169"/>
      <c r="AY46" s="169"/>
      <c r="AZ46" s="169"/>
    </row>
    <row r="47" spans="1:52" x14ac:dyDescent="0.25">
      <c r="A47" s="113">
        <v>43</v>
      </c>
      <c r="B47" s="125" t="s">
        <v>502</v>
      </c>
      <c r="C47" s="125" t="s">
        <v>501</v>
      </c>
      <c r="D47" s="113" t="s">
        <v>71</v>
      </c>
      <c r="F47" s="115"/>
      <c r="G47" s="115"/>
      <c r="H47" s="115"/>
      <c r="J47" s="115"/>
      <c r="K47" s="115"/>
      <c r="L47" s="115"/>
      <c r="N47" s="115">
        <v>10</v>
      </c>
      <c r="O47" s="115">
        <v>0</v>
      </c>
      <c r="P47" s="115">
        <v>0</v>
      </c>
      <c r="R47" s="115"/>
      <c r="S47" s="115"/>
      <c r="T47" s="115"/>
      <c r="V47" s="115"/>
      <c r="W47" s="115"/>
      <c r="X47" s="115"/>
      <c r="Z47" s="169"/>
      <c r="AA47" s="169"/>
      <c r="AB47" s="169"/>
      <c r="AC47" s="135">
        <v>4</v>
      </c>
      <c r="AD47" s="169"/>
      <c r="AE47" s="169"/>
      <c r="AF47" s="169"/>
      <c r="AH47" s="169"/>
      <c r="AI47" s="169"/>
      <c r="AJ47" s="169"/>
      <c r="AL47" s="169"/>
      <c r="AM47" s="169"/>
      <c r="AN47" s="169"/>
      <c r="AP47" s="169"/>
      <c r="AQ47" s="169"/>
      <c r="AR47" s="169"/>
      <c r="AT47" s="169"/>
      <c r="AU47" s="169"/>
      <c r="AV47" s="169"/>
      <c r="AX47" s="169"/>
      <c r="AY47" s="169"/>
      <c r="AZ47" s="169"/>
    </row>
    <row r="48" spans="1:52" x14ac:dyDescent="0.25">
      <c r="A48" s="113">
        <v>44</v>
      </c>
      <c r="B48" s="125" t="s">
        <v>500</v>
      </c>
      <c r="C48" s="125" t="s">
        <v>499</v>
      </c>
      <c r="D48" s="113" t="s">
        <v>71</v>
      </c>
      <c r="F48" s="115"/>
      <c r="G48" s="115"/>
      <c r="H48" s="115"/>
      <c r="J48" s="115"/>
      <c r="K48" s="115"/>
      <c r="L48" s="115"/>
      <c r="N48" s="115">
        <v>13</v>
      </c>
      <c r="O48" s="115">
        <v>0</v>
      </c>
      <c r="P48" s="115">
        <v>0</v>
      </c>
      <c r="R48" s="115">
        <v>48</v>
      </c>
      <c r="S48" s="115">
        <v>0</v>
      </c>
      <c r="T48" s="115">
        <v>0</v>
      </c>
      <c r="V48" s="115"/>
      <c r="W48" s="115"/>
      <c r="X48" s="115"/>
      <c r="Z48" s="169"/>
      <c r="AA48" s="169"/>
      <c r="AB48" s="169"/>
      <c r="AC48" s="135">
        <v>4</v>
      </c>
      <c r="AD48" s="169"/>
      <c r="AE48" s="169"/>
      <c r="AF48" s="169"/>
      <c r="AH48" s="169"/>
      <c r="AI48" s="169"/>
      <c r="AJ48" s="169"/>
      <c r="AL48" s="169"/>
      <c r="AM48" s="169"/>
      <c r="AN48" s="169"/>
      <c r="AP48" s="169"/>
      <c r="AQ48" s="169"/>
      <c r="AR48" s="169"/>
      <c r="AT48" s="169"/>
      <c r="AU48" s="169"/>
      <c r="AV48" s="169"/>
      <c r="AX48" s="169"/>
      <c r="AY48" s="169"/>
      <c r="AZ48" s="169"/>
    </row>
    <row r="49" spans="1:52" x14ac:dyDescent="0.25">
      <c r="A49" s="113">
        <v>45</v>
      </c>
      <c r="B49" s="137" t="s">
        <v>204</v>
      </c>
      <c r="C49" s="126" t="s">
        <v>205</v>
      </c>
      <c r="D49" s="113" t="s">
        <v>71</v>
      </c>
      <c r="F49" s="114"/>
      <c r="G49" s="114"/>
      <c r="H49" s="114"/>
      <c r="J49" s="114"/>
      <c r="K49" s="114"/>
      <c r="L49" s="114"/>
      <c r="N49" s="114"/>
      <c r="O49" s="114"/>
      <c r="P49" s="114"/>
      <c r="R49" s="114"/>
      <c r="S49" s="114"/>
      <c r="T49" s="114"/>
      <c r="V49" s="114">
        <v>11340</v>
      </c>
      <c r="W49" s="114">
        <v>0</v>
      </c>
      <c r="X49" s="114">
        <v>0</v>
      </c>
      <c r="Z49" s="169">
        <v>8520</v>
      </c>
      <c r="AA49" s="169">
        <v>0</v>
      </c>
      <c r="AB49" s="169">
        <v>0</v>
      </c>
      <c r="AC49" s="135">
        <v>4</v>
      </c>
      <c r="AD49" s="169">
        <f>VLOOKUP(B49,[4]PCS!$Y$1:$Z$65536,2,0)</f>
        <v>9440</v>
      </c>
      <c r="AE49" s="169">
        <f>VLOOKUP(B49,[4]PCS!$Y$1:$AA$65536,3,0)</f>
        <v>0</v>
      </c>
      <c r="AF49" s="169">
        <f>VLOOKUP(B49,[4]PCS!$Y$1:$AB$65536,4,0)</f>
        <v>0</v>
      </c>
      <c r="AH49" s="169"/>
      <c r="AI49" s="169"/>
      <c r="AJ49" s="169"/>
      <c r="AL49" s="169"/>
      <c r="AM49" s="169"/>
      <c r="AN49" s="169"/>
      <c r="AP49" s="169"/>
      <c r="AQ49" s="169"/>
      <c r="AR49" s="169"/>
      <c r="AT49" s="169"/>
      <c r="AU49" s="169"/>
      <c r="AV49" s="169"/>
      <c r="AX49" s="169"/>
      <c r="AY49" s="169"/>
      <c r="AZ49" s="169"/>
    </row>
    <row r="50" spans="1:52" x14ac:dyDescent="0.25">
      <c r="A50" s="113">
        <v>46</v>
      </c>
      <c r="B50" s="137" t="s">
        <v>206</v>
      </c>
      <c r="C50" s="126" t="s">
        <v>207</v>
      </c>
      <c r="D50" s="113" t="s">
        <v>71</v>
      </c>
      <c r="F50" s="114"/>
      <c r="G50" s="114"/>
      <c r="H50" s="114"/>
      <c r="J50" s="114"/>
      <c r="K50" s="114"/>
      <c r="L50" s="114"/>
      <c r="N50" s="114"/>
      <c r="O50" s="114"/>
      <c r="P50" s="114"/>
      <c r="R50" s="114"/>
      <c r="S50" s="114"/>
      <c r="T50" s="114"/>
      <c r="V50" s="114">
        <v>3000</v>
      </c>
      <c r="W50" s="114">
        <v>0</v>
      </c>
      <c r="X50" s="114">
        <v>0</v>
      </c>
      <c r="Z50" s="169">
        <v>1350</v>
      </c>
      <c r="AA50" s="169">
        <v>0</v>
      </c>
      <c r="AB50" s="169">
        <v>0</v>
      </c>
      <c r="AC50" s="135">
        <v>4</v>
      </c>
      <c r="AD50" s="169">
        <f>VLOOKUP(B50,[4]PCS!$Y$1:$Z$65536,2,0)</f>
        <v>2820</v>
      </c>
      <c r="AE50" s="169">
        <f>VLOOKUP(B50,[4]PCS!$Y$1:$AA$65536,3,0)</f>
        <v>0</v>
      </c>
      <c r="AF50" s="169">
        <f>VLOOKUP(B50,[4]PCS!$Y$1:$AB$65536,4,0)</f>
        <v>0</v>
      </c>
      <c r="AH50" s="169"/>
      <c r="AI50" s="169"/>
      <c r="AJ50" s="169"/>
      <c r="AL50" s="169"/>
      <c r="AM50" s="169"/>
      <c r="AN50" s="169"/>
      <c r="AP50" s="169"/>
      <c r="AQ50" s="169"/>
      <c r="AR50" s="169"/>
      <c r="AT50" s="169"/>
      <c r="AU50" s="169"/>
      <c r="AV50" s="169"/>
      <c r="AX50" s="169"/>
      <c r="AY50" s="169"/>
      <c r="AZ50" s="169"/>
    </row>
    <row r="51" spans="1:52" x14ac:dyDescent="0.25">
      <c r="A51" s="113">
        <v>47</v>
      </c>
      <c r="B51" s="137" t="s">
        <v>208</v>
      </c>
      <c r="C51" s="126" t="s">
        <v>209</v>
      </c>
      <c r="D51" s="113" t="s">
        <v>71</v>
      </c>
      <c r="F51" s="114"/>
      <c r="G51" s="114"/>
      <c r="H51" s="114"/>
      <c r="J51" s="114"/>
      <c r="K51" s="114"/>
      <c r="L51" s="114"/>
      <c r="N51" s="114"/>
      <c r="O51" s="114"/>
      <c r="P51" s="114"/>
      <c r="R51" s="114"/>
      <c r="S51" s="114"/>
      <c r="T51" s="114"/>
      <c r="V51" s="114">
        <v>11340</v>
      </c>
      <c r="W51" s="114">
        <v>0</v>
      </c>
      <c r="X51" s="114">
        <v>0</v>
      </c>
      <c r="Z51" s="169">
        <v>8520</v>
      </c>
      <c r="AA51" s="169">
        <v>0</v>
      </c>
      <c r="AB51" s="169">
        <v>0</v>
      </c>
      <c r="AC51" s="135">
        <v>4</v>
      </c>
      <c r="AD51" s="169">
        <f>VLOOKUP(B51,[4]PCS!$Y$1:$Z$65536,2,0)</f>
        <v>9440</v>
      </c>
      <c r="AE51" s="169">
        <f>VLOOKUP(B51,[4]PCS!$Y$1:$AA$65536,3,0)</f>
        <v>0</v>
      </c>
      <c r="AF51" s="169">
        <f>VLOOKUP(B51,[4]PCS!$Y$1:$AB$65536,4,0)</f>
        <v>0</v>
      </c>
      <c r="AH51" s="169"/>
      <c r="AI51" s="169"/>
      <c r="AJ51" s="169"/>
      <c r="AL51" s="169"/>
      <c r="AM51" s="169"/>
      <c r="AN51" s="169"/>
      <c r="AP51" s="169"/>
      <c r="AQ51" s="169"/>
      <c r="AR51" s="169"/>
      <c r="AT51" s="169"/>
      <c r="AU51" s="169"/>
      <c r="AV51" s="169"/>
      <c r="AX51" s="169"/>
      <c r="AY51" s="169"/>
      <c r="AZ51" s="169"/>
    </row>
    <row r="52" spans="1:52" x14ac:dyDescent="0.25">
      <c r="A52" s="113">
        <v>48</v>
      </c>
      <c r="B52" s="137" t="s">
        <v>210</v>
      </c>
      <c r="C52" s="126" t="s">
        <v>211</v>
      </c>
      <c r="D52" s="113" t="s">
        <v>71</v>
      </c>
      <c r="F52" s="114"/>
      <c r="G52" s="114"/>
      <c r="H52" s="114"/>
      <c r="J52" s="114"/>
      <c r="K52" s="114"/>
      <c r="L52" s="114"/>
      <c r="N52" s="114"/>
      <c r="O52" s="114"/>
      <c r="P52" s="114"/>
      <c r="R52" s="114"/>
      <c r="S52" s="114"/>
      <c r="T52" s="114"/>
      <c r="V52" s="114">
        <v>3000</v>
      </c>
      <c r="W52" s="114">
        <v>0</v>
      </c>
      <c r="X52" s="114">
        <v>0</v>
      </c>
      <c r="Z52" s="169">
        <v>1350</v>
      </c>
      <c r="AA52" s="169">
        <v>0</v>
      </c>
      <c r="AB52" s="169">
        <v>0</v>
      </c>
      <c r="AC52" s="135">
        <v>4</v>
      </c>
      <c r="AD52" s="169">
        <f>VLOOKUP(B52,[4]PCS!$Y$1:$Z$65536,2,0)</f>
        <v>2820</v>
      </c>
      <c r="AE52" s="169">
        <f>VLOOKUP(B52,[4]PCS!$Y$1:$AA$65536,3,0)</f>
        <v>0</v>
      </c>
      <c r="AF52" s="169">
        <f>VLOOKUP(B52,[4]PCS!$Y$1:$AB$65536,4,0)</f>
        <v>0</v>
      </c>
      <c r="AH52" s="169"/>
      <c r="AI52" s="169"/>
      <c r="AJ52" s="169"/>
      <c r="AL52" s="169"/>
      <c r="AM52" s="169"/>
      <c r="AN52" s="169"/>
      <c r="AP52" s="169"/>
      <c r="AQ52" s="169"/>
      <c r="AR52" s="169"/>
      <c r="AT52" s="169"/>
      <c r="AU52" s="169"/>
      <c r="AV52" s="169"/>
      <c r="AX52" s="169"/>
      <c r="AY52" s="169"/>
      <c r="AZ52" s="169"/>
    </row>
    <row r="53" spans="1:52" x14ac:dyDescent="0.25">
      <c r="A53" s="113">
        <v>49</v>
      </c>
      <c r="B53" s="137" t="s">
        <v>344</v>
      </c>
      <c r="C53" s="126" t="s">
        <v>345</v>
      </c>
      <c r="D53" s="113" t="s">
        <v>71</v>
      </c>
      <c r="F53" s="114"/>
      <c r="G53" s="114"/>
      <c r="H53" s="114"/>
      <c r="J53" s="114"/>
      <c r="K53" s="114"/>
      <c r="L53" s="114"/>
      <c r="N53" s="114"/>
      <c r="O53" s="114"/>
      <c r="P53" s="114"/>
      <c r="R53" s="114"/>
      <c r="S53" s="114"/>
      <c r="T53" s="114"/>
      <c r="V53" s="114">
        <v>5800</v>
      </c>
      <c r="W53" s="114">
        <v>0</v>
      </c>
      <c r="X53" s="114">
        <v>0</v>
      </c>
      <c r="Z53" s="169">
        <v>6589</v>
      </c>
      <c r="AA53" s="169">
        <v>11</v>
      </c>
      <c r="AB53" s="169">
        <v>0</v>
      </c>
      <c r="AC53" s="135">
        <v>4</v>
      </c>
      <c r="AD53" s="169">
        <f>VLOOKUP(B53,[4]PCS!$Y$1:$Z$65536,2,0)</f>
        <v>7700</v>
      </c>
      <c r="AE53" s="169">
        <f>VLOOKUP(B53,[4]PCS!$Y$1:$AA$65536,3,0)</f>
        <v>0</v>
      </c>
      <c r="AF53" s="169">
        <f>VLOOKUP(B53,[4]PCS!$Y$1:$AB$65536,4,0)</f>
        <v>0</v>
      </c>
      <c r="AH53" s="169"/>
      <c r="AI53" s="169"/>
      <c r="AJ53" s="169"/>
      <c r="AL53" s="169"/>
      <c r="AM53" s="169"/>
      <c r="AN53" s="169"/>
      <c r="AP53" s="169"/>
      <c r="AQ53" s="169"/>
      <c r="AR53" s="169"/>
      <c r="AT53" s="169"/>
      <c r="AU53" s="169"/>
      <c r="AV53" s="169"/>
      <c r="AX53" s="169"/>
      <c r="AY53" s="169"/>
      <c r="AZ53" s="169"/>
    </row>
    <row r="54" spans="1:52" x14ac:dyDescent="0.25">
      <c r="A54" s="113">
        <v>50</v>
      </c>
      <c r="B54" s="137" t="s">
        <v>310</v>
      </c>
      <c r="C54" s="126" t="s">
        <v>311</v>
      </c>
      <c r="D54" s="113" t="s">
        <v>71</v>
      </c>
      <c r="F54" s="114"/>
      <c r="G54" s="114"/>
      <c r="H54" s="114"/>
      <c r="J54" s="114"/>
      <c r="K54" s="114"/>
      <c r="L54" s="114"/>
      <c r="N54" s="114"/>
      <c r="O54" s="114"/>
      <c r="P54" s="114"/>
      <c r="R54" s="114"/>
      <c r="S54" s="114"/>
      <c r="T54" s="114"/>
      <c r="V54" s="114">
        <v>1500</v>
      </c>
      <c r="W54" s="114">
        <v>0</v>
      </c>
      <c r="X54" s="114">
        <v>0</v>
      </c>
      <c r="Z54" s="169">
        <v>200</v>
      </c>
      <c r="AA54" s="169">
        <v>0</v>
      </c>
      <c r="AB54" s="169">
        <v>0</v>
      </c>
      <c r="AC54" s="135">
        <v>4</v>
      </c>
      <c r="AD54" s="169">
        <f>VLOOKUP(B54,[4]PCS!$Y$1:$Z$65536,2,0)</f>
        <v>600</v>
      </c>
      <c r="AE54" s="169">
        <f>VLOOKUP(B54,[4]PCS!$Y$1:$AA$65536,3,0)</f>
        <v>0</v>
      </c>
      <c r="AF54" s="169">
        <f>VLOOKUP(B54,[4]PCS!$Y$1:$AB$65536,4,0)</f>
        <v>0</v>
      </c>
      <c r="AH54" s="169"/>
      <c r="AI54" s="169"/>
      <c r="AJ54" s="169"/>
      <c r="AL54" s="169"/>
      <c r="AM54" s="169"/>
      <c r="AN54" s="169"/>
      <c r="AP54" s="169"/>
      <c r="AQ54" s="169"/>
      <c r="AR54" s="169"/>
      <c r="AT54" s="169"/>
      <c r="AU54" s="169"/>
      <c r="AV54" s="169"/>
      <c r="AX54" s="169"/>
      <c r="AY54" s="169"/>
      <c r="AZ54" s="169"/>
    </row>
    <row r="55" spans="1:52" s="54" customFormat="1" x14ac:dyDescent="0.25">
      <c r="A55" s="113">
        <v>51</v>
      </c>
      <c r="B55" s="129" t="s">
        <v>552</v>
      </c>
      <c r="C55" s="128" t="s">
        <v>553</v>
      </c>
      <c r="D55" s="113" t="s">
        <v>71</v>
      </c>
      <c r="E55" s="127"/>
      <c r="F55" s="130"/>
      <c r="G55" s="130"/>
      <c r="H55" s="130"/>
      <c r="I55" s="127"/>
      <c r="J55" s="130"/>
      <c r="K55" s="130"/>
      <c r="L55" s="130"/>
      <c r="M55" s="127"/>
      <c r="N55" s="130"/>
      <c r="O55" s="130"/>
      <c r="P55" s="130"/>
      <c r="Q55" s="127"/>
      <c r="R55" s="130"/>
      <c r="S55" s="130"/>
      <c r="T55" s="130"/>
      <c r="U55" s="138"/>
      <c r="V55" s="130">
        <v>150</v>
      </c>
      <c r="W55" s="130">
        <v>0</v>
      </c>
      <c r="X55" s="130">
        <v>0</v>
      </c>
      <c r="Z55" s="169">
        <v>630</v>
      </c>
      <c r="AA55" s="169">
        <v>0</v>
      </c>
      <c r="AB55" s="169">
        <v>0</v>
      </c>
      <c r="AC55" s="135">
        <v>4</v>
      </c>
      <c r="AD55" s="169">
        <f>VLOOKUP(B55,[4]PCS!$Y$1:$Z$65536,2,0)</f>
        <v>2025</v>
      </c>
      <c r="AE55" s="169">
        <f>VLOOKUP(B55,[4]PCS!$Y$1:$AA$65536,3,0)</f>
        <v>0</v>
      </c>
      <c r="AF55" s="169">
        <f>VLOOKUP(B55,[4]PCS!$Y$1:$AB$65536,4,0)</f>
        <v>0</v>
      </c>
      <c r="AH55" s="169"/>
      <c r="AI55" s="169"/>
      <c r="AJ55" s="169"/>
      <c r="AL55" s="169"/>
      <c r="AM55" s="169"/>
      <c r="AN55" s="169"/>
      <c r="AP55" s="169"/>
      <c r="AQ55" s="169"/>
      <c r="AR55" s="169"/>
      <c r="AT55" s="169"/>
      <c r="AU55" s="169"/>
      <c r="AV55" s="169"/>
      <c r="AX55" s="169"/>
      <c r="AY55" s="169"/>
      <c r="AZ55" s="169"/>
    </row>
    <row r="56" spans="1:52" s="54" customFormat="1" x14ac:dyDescent="0.25">
      <c r="A56" s="113">
        <v>52</v>
      </c>
      <c r="B56" s="129" t="s">
        <v>554</v>
      </c>
      <c r="C56" s="128" t="s">
        <v>555</v>
      </c>
      <c r="D56" s="113" t="s">
        <v>71</v>
      </c>
      <c r="E56" s="127"/>
      <c r="F56" s="130"/>
      <c r="G56" s="130"/>
      <c r="H56" s="130"/>
      <c r="I56" s="127"/>
      <c r="J56" s="130"/>
      <c r="K56" s="130"/>
      <c r="L56" s="130"/>
      <c r="M56" s="127"/>
      <c r="N56" s="130"/>
      <c r="O56" s="130"/>
      <c r="P56" s="130"/>
      <c r="Q56" s="127"/>
      <c r="R56" s="130"/>
      <c r="S56" s="130"/>
      <c r="T56" s="130"/>
      <c r="U56" s="138"/>
      <c r="V56" s="130">
        <v>8</v>
      </c>
      <c r="W56" s="130">
        <v>0</v>
      </c>
      <c r="X56" s="130">
        <v>0</v>
      </c>
      <c r="Z56" s="169">
        <v>499</v>
      </c>
      <c r="AA56" s="169">
        <v>0</v>
      </c>
      <c r="AB56" s="169">
        <v>3</v>
      </c>
      <c r="AC56" s="135">
        <v>4</v>
      </c>
      <c r="AD56" s="169">
        <f>1800-2</f>
        <v>1798</v>
      </c>
      <c r="AE56" s="169">
        <f>VLOOKUP(B56,[4]PCS!$Y$1:$AA$65536,3,0)</f>
        <v>0</v>
      </c>
      <c r="AF56" s="169">
        <v>2</v>
      </c>
      <c r="AH56" s="169"/>
      <c r="AI56" s="169"/>
      <c r="AJ56" s="169"/>
      <c r="AL56" s="169"/>
      <c r="AM56" s="169"/>
      <c r="AN56" s="169"/>
      <c r="AP56" s="169"/>
      <c r="AQ56" s="169"/>
      <c r="AR56" s="169"/>
      <c r="AT56" s="169"/>
      <c r="AU56" s="169"/>
      <c r="AV56" s="169"/>
      <c r="AX56" s="169"/>
      <c r="AY56" s="169"/>
      <c r="AZ56" s="169"/>
    </row>
    <row r="57" spans="1:52" s="54" customFormat="1" x14ac:dyDescent="0.25">
      <c r="A57" s="113">
        <v>53</v>
      </c>
      <c r="B57" s="129" t="s">
        <v>556</v>
      </c>
      <c r="C57" s="128" t="s">
        <v>557</v>
      </c>
      <c r="D57" s="113" t="s">
        <v>71</v>
      </c>
      <c r="E57" s="127"/>
      <c r="F57" s="130"/>
      <c r="G57" s="130"/>
      <c r="H57" s="130"/>
      <c r="I57" s="127"/>
      <c r="J57" s="130"/>
      <c r="K57" s="130"/>
      <c r="L57" s="130"/>
      <c r="M57" s="127"/>
      <c r="N57" s="130"/>
      <c r="O57" s="130"/>
      <c r="P57" s="130"/>
      <c r="Q57" s="127"/>
      <c r="R57" s="130"/>
      <c r="S57" s="130"/>
      <c r="T57" s="130"/>
      <c r="U57" s="138"/>
      <c r="V57" s="130">
        <v>300</v>
      </c>
      <c r="W57" s="130">
        <v>0</v>
      </c>
      <c r="X57" s="130">
        <v>0</v>
      </c>
      <c r="Z57" s="169">
        <v>400</v>
      </c>
      <c r="AA57" s="169">
        <v>0</v>
      </c>
      <c r="AB57" s="169">
        <v>0</v>
      </c>
      <c r="AC57" s="135">
        <v>4</v>
      </c>
      <c r="AD57" s="169">
        <f>VLOOKUP(B57,[4]PCS!$Y$1:$Z$65536,2,0)</f>
        <v>2100</v>
      </c>
      <c r="AE57" s="169">
        <f>VLOOKUP(B57,[4]PCS!$Y$1:$AA$65536,3,0)</f>
        <v>0</v>
      </c>
      <c r="AF57" s="169">
        <f>VLOOKUP(B57,[4]PCS!$Y$1:$AB$65536,4,0)</f>
        <v>0</v>
      </c>
      <c r="AH57" s="169"/>
      <c r="AI57" s="169"/>
      <c r="AJ57" s="169"/>
      <c r="AL57" s="169"/>
      <c r="AM57" s="169"/>
      <c r="AN57" s="169"/>
      <c r="AP57" s="169"/>
      <c r="AQ57" s="169"/>
      <c r="AR57" s="169"/>
      <c r="AT57" s="169"/>
      <c r="AU57" s="169"/>
      <c r="AV57" s="169"/>
      <c r="AX57" s="169"/>
      <c r="AY57" s="169"/>
      <c r="AZ57" s="169"/>
    </row>
    <row r="58" spans="1:52" s="54" customFormat="1" x14ac:dyDescent="0.25">
      <c r="A58" s="113">
        <v>54</v>
      </c>
      <c r="B58" s="129" t="s">
        <v>558</v>
      </c>
      <c r="C58" s="128" t="s">
        <v>559</v>
      </c>
      <c r="D58" s="113" t="s">
        <v>71</v>
      </c>
      <c r="E58" s="127"/>
      <c r="F58" s="130"/>
      <c r="G58" s="130"/>
      <c r="H58" s="130"/>
      <c r="I58" s="127"/>
      <c r="J58" s="130"/>
      <c r="K58" s="130"/>
      <c r="L58" s="130"/>
      <c r="M58" s="127"/>
      <c r="N58" s="130"/>
      <c r="O58" s="130"/>
      <c r="P58" s="130"/>
      <c r="Q58" s="127"/>
      <c r="R58" s="130"/>
      <c r="S58" s="130"/>
      <c r="T58" s="130"/>
      <c r="U58" s="138"/>
      <c r="V58" s="130">
        <v>300</v>
      </c>
      <c r="W58" s="130">
        <v>0</v>
      </c>
      <c r="X58" s="130">
        <v>0</v>
      </c>
      <c r="Z58" s="169">
        <v>400</v>
      </c>
      <c r="AA58" s="169">
        <v>0</v>
      </c>
      <c r="AB58" s="169">
        <v>0</v>
      </c>
      <c r="AC58" s="135">
        <v>4</v>
      </c>
      <c r="AD58" s="169">
        <f>VLOOKUP(B58,[4]PCS!$Y$1:$Z$65536,2,0)</f>
        <v>2100</v>
      </c>
      <c r="AE58" s="169">
        <f>VLOOKUP(B58,[4]PCS!$Y$1:$AA$65536,3,0)</f>
        <v>0</v>
      </c>
      <c r="AF58" s="169">
        <f>VLOOKUP(B58,[4]PCS!$Y$1:$AB$65536,4,0)</f>
        <v>0</v>
      </c>
      <c r="AH58" s="169"/>
      <c r="AI58" s="169"/>
      <c r="AJ58" s="169"/>
      <c r="AL58" s="169"/>
      <c r="AM58" s="169"/>
      <c r="AN58" s="169"/>
      <c r="AP58" s="169"/>
      <c r="AQ58" s="169"/>
      <c r="AR58" s="169"/>
      <c r="AT58" s="169"/>
      <c r="AU58" s="169"/>
      <c r="AV58" s="169"/>
      <c r="AX58" s="169"/>
      <c r="AY58" s="169"/>
      <c r="AZ58" s="169"/>
    </row>
    <row r="59" spans="1:52" x14ac:dyDescent="0.25">
      <c r="A59" s="113">
        <v>55</v>
      </c>
      <c r="B59" s="137" t="s">
        <v>634</v>
      </c>
      <c r="C59" s="126" t="s">
        <v>635</v>
      </c>
      <c r="D59" s="113" t="s">
        <v>71</v>
      </c>
      <c r="F59" s="114"/>
      <c r="G59" s="114"/>
      <c r="H59" s="114"/>
      <c r="J59" s="114"/>
      <c r="K59" s="114"/>
      <c r="L59" s="114"/>
      <c r="N59" s="114"/>
      <c r="O59" s="114"/>
      <c r="P59" s="114"/>
      <c r="R59" s="114"/>
      <c r="S59" s="114"/>
      <c r="T59" s="114"/>
      <c r="V59" s="114"/>
      <c r="W59" s="114"/>
      <c r="X59" s="114"/>
      <c r="Z59" s="169">
        <v>500</v>
      </c>
      <c r="AA59" s="169">
        <v>0</v>
      </c>
      <c r="AB59" s="169">
        <v>0</v>
      </c>
      <c r="AD59" s="169">
        <f>VLOOKUP(B59,[4]PCS!$Y$1:$Z$65536,2,0)</f>
        <v>1850</v>
      </c>
      <c r="AE59" s="169">
        <f>VLOOKUP(B59,[4]PCS!$Y$1:$AA$65536,3,0)</f>
        <v>0</v>
      </c>
      <c r="AF59" s="169">
        <f>VLOOKUP(B59,[4]PCS!$Y$1:$AB$65536,4,0)</f>
        <v>0</v>
      </c>
      <c r="AH59" s="169"/>
      <c r="AI59" s="169"/>
      <c r="AJ59" s="169"/>
      <c r="AL59" s="169"/>
      <c r="AM59" s="169"/>
      <c r="AN59" s="169"/>
      <c r="AP59" s="169"/>
      <c r="AQ59" s="169"/>
      <c r="AR59" s="169"/>
      <c r="AT59" s="169"/>
      <c r="AU59" s="169"/>
      <c r="AV59" s="169"/>
      <c r="AX59" s="169"/>
      <c r="AY59" s="169"/>
      <c r="AZ59" s="169"/>
    </row>
    <row r="60" spans="1:52" x14ac:dyDescent="0.25">
      <c r="A60" s="113">
        <v>56</v>
      </c>
      <c r="B60" s="137" t="s">
        <v>636</v>
      </c>
      <c r="C60" s="126" t="s">
        <v>637</v>
      </c>
      <c r="D60" s="113" t="s">
        <v>71</v>
      </c>
      <c r="F60" s="114"/>
      <c r="G60" s="114"/>
      <c r="H60" s="114"/>
      <c r="J60" s="114"/>
      <c r="K60" s="114"/>
      <c r="L60" s="114"/>
      <c r="N60" s="114"/>
      <c r="O60" s="114"/>
      <c r="P60" s="114"/>
      <c r="R60" s="114"/>
      <c r="S60" s="114"/>
      <c r="T60" s="114"/>
      <c r="V60" s="114"/>
      <c r="W60" s="114"/>
      <c r="X60" s="114"/>
      <c r="Z60" s="169">
        <v>400</v>
      </c>
      <c r="AA60" s="169">
        <v>0</v>
      </c>
      <c r="AB60" s="169">
        <v>0</v>
      </c>
      <c r="AD60" s="169">
        <f>VLOOKUP(B60,[4]PCS!$Y$1:$Z$65536,2,0)</f>
        <v>2050</v>
      </c>
      <c r="AE60" s="169">
        <f>VLOOKUP(B60,[4]PCS!$Y$1:$AA$65536,3,0)</f>
        <v>0</v>
      </c>
      <c r="AF60" s="169">
        <f>VLOOKUP(B60,[4]PCS!$Y$1:$AB$65536,4,0)</f>
        <v>0</v>
      </c>
      <c r="AH60" s="169"/>
      <c r="AI60" s="169"/>
      <c r="AJ60" s="169"/>
      <c r="AL60" s="169"/>
      <c r="AM60" s="169"/>
      <c r="AN60" s="169"/>
      <c r="AP60" s="169"/>
      <c r="AQ60" s="169"/>
      <c r="AR60" s="169"/>
      <c r="AT60" s="169"/>
      <c r="AU60" s="169"/>
      <c r="AV60" s="169"/>
      <c r="AX60" s="169"/>
      <c r="AY60" s="169"/>
      <c r="AZ60" s="169"/>
    </row>
    <row r="61" spans="1:52" x14ac:dyDescent="0.25">
      <c r="A61" s="113">
        <v>57</v>
      </c>
      <c r="B61" s="137" t="s">
        <v>638</v>
      </c>
      <c r="C61" s="126" t="s">
        <v>639</v>
      </c>
      <c r="D61" s="113" t="s">
        <v>71</v>
      </c>
      <c r="F61" s="114"/>
      <c r="G61" s="114"/>
      <c r="H61" s="114"/>
      <c r="J61" s="114"/>
      <c r="K61" s="114"/>
      <c r="L61" s="114"/>
      <c r="N61" s="114"/>
      <c r="O61" s="114"/>
      <c r="P61" s="114"/>
      <c r="R61" s="114"/>
      <c r="S61" s="114"/>
      <c r="T61" s="114"/>
      <c r="V61" s="114"/>
      <c r="W61" s="114"/>
      <c r="X61" s="114"/>
      <c r="Z61" s="169">
        <v>182</v>
      </c>
      <c r="AA61" s="169">
        <v>0</v>
      </c>
      <c r="AB61" s="169">
        <v>0</v>
      </c>
      <c r="AD61" s="169">
        <f>VLOOKUP(B61,[4]PCS!$Y$1:$Z$65536,2,0)</f>
        <v>750</v>
      </c>
      <c r="AE61" s="169">
        <f>VLOOKUP(B61,[4]PCS!$Y$1:$AA$65536,3,0)</f>
        <v>0</v>
      </c>
      <c r="AF61" s="169">
        <f>VLOOKUP(B61,[4]PCS!$Y$1:$AB$65536,4,0)</f>
        <v>0</v>
      </c>
      <c r="AH61" s="169"/>
      <c r="AI61" s="169"/>
      <c r="AJ61" s="169"/>
      <c r="AL61" s="169"/>
      <c r="AM61" s="169"/>
      <c r="AN61" s="169"/>
      <c r="AP61" s="169"/>
      <c r="AQ61" s="169"/>
      <c r="AR61" s="169"/>
      <c r="AT61" s="169"/>
      <c r="AU61" s="169"/>
      <c r="AV61" s="169"/>
      <c r="AX61" s="169"/>
      <c r="AY61" s="169"/>
      <c r="AZ61" s="169"/>
    </row>
    <row r="62" spans="1:52" x14ac:dyDescent="0.25">
      <c r="A62" s="113">
        <v>58</v>
      </c>
      <c r="B62" s="137" t="s">
        <v>640</v>
      </c>
      <c r="C62" s="126" t="s">
        <v>641</v>
      </c>
      <c r="D62" s="113" t="s">
        <v>71</v>
      </c>
      <c r="F62" s="114"/>
      <c r="G62" s="114"/>
      <c r="H62" s="114"/>
      <c r="J62" s="114"/>
      <c r="K62" s="114"/>
      <c r="L62" s="114"/>
      <c r="N62" s="114"/>
      <c r="O62" s="114"/>
      <c r="P62" s="114"/>
      <c r="R62" s="114"/>
      <c r="S62" s="114"/>
      <c r="T62" s="114"/>
      <c r="V62" s="114"/>
      <c r="W62" s="114"/>
      <c r="X62" s="114"/>
      <c r="Z62" s="169">
        <v>20</v>
      </c>
      <c r="AA62" s="169">
        <v>0</v>
      </c>
      <c r="AB62" s="169">
        <v>0</v>
      </c>
      <c r="AD62" s="169"/>
      <c r="AE62" s="169"/>
      <c r="AF62" s="169"/>
      <c r="AH62" s="169"/>
      <c r="AI62" s="169"/>
      <c r="AJ62" s="169"/>
      <c r="AL62" s="169"/>
      <c r="AM62" s="169"/>
      <c r="AN62" s="169"/>
      <c r="AP62" s="169"/>
      <c r="AQ62" s="169"/>
      <c r="AR62" s="169"/>
      <c r="AT62" s="169"/>
      <c r="AU62" s="169"/>
      <c r="AV62" s="169"/>
      <c r="AX62" s="169"/>
      <c r="AY62" s="169"/>
      <c r="AZ62" s="169"/>
    </row>
    <row r="63" spans="1:52" x14ac:dyDescent="0.25">
      <c r="A63" s="113">
        <v>59</v>
      </c>
      <c r="B63" s="137" t="s">
        <v>642</v>
      </c>
      <c r="C63" s="126" t="s">
        <v>643</v>
      </c>
      <c r="D63" s="113" t="s">
        <v>71</v>
      </c>
      <c r="F63" s="114"/>
      <c r="G63" s="114"/>
      <c r="H63" s="114"/>
      <c r="J63" s="114"/>
      <c r="K63" s="114"/>
      <c r="L63" s="114"/>
      <c r="N63" s="114"/>
      <c r="O63" s="114"/>
      <c r="P63" s="114"/>
      <c r="R63" s="114"/>
      <c r="S63" s="114"/>
      <c r="T63" s="114"/>
      <c r="V63" s="114"/>
      <c r="W63" s="114"/>
      <c r="X63" s="114"/>
      <c r="Z63" s="169">
        <v>20</v>
      </c>
      <c r="AA63" s="169">
        <v>0</v>
      </c>
      <c r="AB63" s="169">
        <v>0</v>
      </c>
      <c r="AD63" s="169"/>
      <c r="AE63" s="169"/>
      <c r="AF63" s="169"/>
      <c r="AH63" s="169"/>
      <c r="AI63" s="169"/>
      <c r="AJ63" s="169"/>
      <c r="AL63" s="169"/>
      <c r="AM63" s="169"/>
      <c r="AN63" s="169"/>
      <c r="AP63" s="169"/>
      <c r="AQ63" s="169"/>
      <c r="AR63" s="169"/>
      <c r="AT63" s="169"/>
      <c r="AU63" s="169"/>
      <c r="AV63" s="169"/>
      <c r="AX63" s="169"/>
      <c r="AY63" s="169"/>
      <c r="AZ63" s="169"/>
    </row>
    <row r="64" spans="1:52" x14ac:dyDescent="0.25">
      <c r="A64" s="113">
        <v>60</v>
      </c>
      <c r="B64" s="125" t="s">
        <v>498</v>
      </c>
      <c r="C64" s="125" t="s">
        <v>497</v>
      </c>
      <c r="D64" s="113" t="s">
        <v>71</v>
      </c>
      <c r="F64" s="115"/>
      <c r="G64" s="115"/>
      <c r="H64" s="115"/>
      <c r="J64" s="115"/>
      <c r="K64" s="115"/>
      <c r="L64" s="115"/>
      <c r="N64" s="115">
        <v>200</v>
      </c>
      <c r="O64" s="115">
        <v>0</v>
      </c>
      <c r="P64" s="115">
        <v>0</v>
      </c>
      <c r="R64" s="115">
        <v>100</v>
      </c>
      <c r="S64" s="115">
        <v>0</v>
      </c>
      <c r="T64" s="115">
        <v>0</v>
      </c>
      <c r="V64" s="115"/>
      <c r="W64" s="115"/>
      <c r="X64" s="115"/>
      <c r="Z64" s="169">
        <v>100</v>
      </c>
      <c r="AA64" s="169">
        <v>0</v>
      </c>
      <c r="AB64" s="169">
        <v>0</v>
      </c>
      <c r="AC64" s="135">
        <v>4</v>
      </c>
      <c r="AD64" s="169">
        <f>VLOOKUP(B64,[4]PCS!$Y$1:$Z$65536,2,0)</f>
        <v>500</v>
      </c>
      <c r="AE64" s="169">
        <f>VLOOKUP(B64,[4]PCS!$Y$1:$AA$65536,3,0)</f>
        <v>0</v>
      </c>
      <c r="AF64" s="169">
        <f>VLOOKUP(B64,[4]PCS!$Y$1:$AB$65536,4,0)</f>
        <v>0</v>
      </c>
      <c r="AH64" s="169"/>
      <c r="AI64" s="169"/>
      <c r="AJ64" s="169"/>
      <c r="AL64" s="169"/>
      <c r="AM64" s="169"/>
      <c r="AN64" s="169"/>
      <c r="AP64" s="169"/>
      <c r="AQ64" s="169"/>
      <c r="AR64" s="169"/>
      <c r="AT64" s="169"/>
      <c r="AU64" s="169"/>
      <c r="AV64" s="169"/>
      <c r="AX64" s="169"/>
      <c r="AY64" s="169"/>
      <c r="AZ64" s="169"/>
    </row>
    <row r="65" spans="1:256" x14ac:dyDescent="0.25">
      <c r="A65" s="113">
        <v>61</v>
      </c>
      <c r="B65" s="114" t="s">
        <v>495</v>
      </c>
      <c r="C65" s="114" t="s">
        <v>496</v>
      </c>
      <c r="D65" s="113" t="s">
        <v>71</v>
      </c>
      <c r="F65" s="114"/>
      <c r="G65" s="114"/>
      <c r="H65" s="114"/>
      <c r="J65" s="114">
        <v>120</v>
      </c>
      <c r="K65" s="114">
        <v>0</v>
      </c>
      <c r="L65" s="114">
        <v>0</v>
      </c>
      <c r="N65" s="114">
        <v>24</v>
      </c>
      <c r="O65" s="114">
        <v>0</v>
      </c>
      <c r="P65" s="114">
        <v>0</v>
      </c>
      <c r="R65" s="114"/>
      <c r="S65" s="114"/>
      <c r="T65" s="114"/>
      <c r="V65" s="114">
        <v>264</v>
      </c>
      <c r="W65" s="114">
        <v>0</v>
      </c>
      <c r="X65" s="114">
        <v>0</v>
      </c>
      <c r="Z65" s="169">
        <v>240</v>
      </c>
      <c r="AA65" s="169">
        <v>0</v>
      </c>
      <c r="AB65" s="169">
        <v>0</v>
      </c>
      <c r="AC65" s="135">
        <v>4</v>
      </c>
      <c r="AD65" s="169">
        <f>VLOOKUP(B65,[4]PCS!$Y$1:$Z$65536,2,0)</f>
        <v>120</v>
      </c>
      <c r="AE65" s="169">
        <f>VLOOKUP(B65,[4]PCS!$Y$1:$AA$65536,3,0)</f>
        <v>0</v>
      </c>
      <c r="AF65" s="169">
        <f>VLOOKUP(B65,[4]PCS!$Y$1:$AB$65536,4,0)</f>
        <v>0</v>
      </c>
      <c r="AH65" s="169"/>
      <c r="AI65" s="169"/>
      <c r="AJ65" s="169"/>
      <c r="AL65" s="169"/>
      <c r="AM65" s="169"/>
      <c r="AN65" s="169"/>
      <c r="AP65" s="169"/>
      <c r="AQ65" s="169"/>
      <c r="AR65" s="169"/>
      <c r="AT65" s="169"/>
      <c r="AU65" s="169"/>
      <c r="AV65" s="169"/>
      <c r="AX65" s="169"/>
      <c r="AY65" s="169"/>
      <c r="AZ65" s="169"/>
    </row>
    <row r="66" spans="1:256" x14ac:dyDescent="0.25">
      <c r="A66" s="113">
        <v>62</v>
      </c>
      <c r="B66" s="114" t="s">
        <v>661</v>
      </c>
      <c r="C66" s="114" t="s">
        <v>662</v>
      </c>
      <c r="D66" s="113" t="s">
        <v>71</v>
      </c>
      <c r="F66" s="114"/>
      <c r="G66" s="114"/>
      <c r="H66" s="114"/>
      <c r="J66" s="114"/>
      <c r="K66" s="114"/>
      <c r="L66" s="114"/>
      <c r="N66" s="114"/>
      <c r="O66" s="114"/>
      <c r="P66" s="114"/>
      <c r="R66" s="114"/>
      <c r="S66" s="114"/>
      <c r="T66" s="114"/>
      <c r="V66" s="114"/>
      <c r="W66" s="114"/>
      <c r="X66" s="114"/>
      <c r="Z66" s="169"/>
      <c r="AA66" s="169"/>
      <c r="AB66" s="169"/>
      <c r="AD66" s="169">
        <f>VLOOKUP(B66,[4]PCS!$Y$1:$Z$65536,2,0)</f>
        <v>20</v>
      </c>
      <c r="AE66" s="169">
        <f>VLOOKUP(B66,[4]PCS!$Y$1:$AA$65536,3,0)</f>
        <v>0</v>
      </c>
      <c r="AF66" s="169">
        <f>VLOOKUP(B66,[4]PCS!$Y$1:$AB$65536,4,0)</f>
        <v>0</v>
      </c>
      <c r="AH66" s="169"/>
      <c r="AI66" s="169"/>
      <c r="AJ66" s="169"/>
      <c r="AL66" s="169"/>
      <c r="AM66" s="169"/>
      <c r="AN66" s="169"/>
      <c r="AP66" s="169"/>
      <c r="AQ66" s="169"/>
      <c r="AR66" s="169"/>
      <c r="AT66" s="169"/>
      <c r="AU66" s="169"/>
      <c r="AV66" s="169"/>
      <c r="AX66" s="169"/>
      <c r="AY66" s="169"/>
      <c r="AZ66" s="169"/>
    </row>
    <row r="67" spans="1:256" x14ac:dyDescent="0.25">
      <c r="A67" s="124"/>
      <c r="B67" s="124"/>
      <c r="C67" s="133" t="s">
        <v>560</v>
      </c>
      <c r="D67" s="116" t="s">
        <v>59</v>
      </c>
      <c r="F67" s="116">
        <f>SUM(F5:F65)</f>
        <v>172759</v>
      </c>
      <c r="G67" s="116">
        <f>SUM(G5:G65)</f>
        <v>80</v>
      </c>
      <c r="H67" s="116">
        <f>SUM(H5:H65)</f>
        <v>34</v>
      </c>
      <c r="J67" s="116">
        <f>SUM(J5:J65)</f>
        <v>157689</v>
      </c>
      <c r="K67" s="116">
        <f>SUM(K5:K65)</f>
        <v>86</v>
      </c>
      <c r="L67" s="116">
        <f>SUM(L5:L65)</f>
        <v>7</v>
      </c>
      <c r="N67" s="116">
        <f>SUM(N5:N65)</f>
        <v>154401</v>
      </c>
      <c r="O67" s="116">
        <f>SUM(O5:O65)</f>
        <v>4</v>
      </c>
      <c r="P67" s="116">
        <f>SUM(P5:P65)</f>
        <v>0</v>
      </c>
      <c r="R67" s="116">
        <f>SUM(R5:R65)</f>
        <v>113538</v>
      </c>
      <c r="S67" s="116">
        <f>SUM(S5:S65)</f>
        <v>54</v>
      </c>
      <c r="T67" s="116">
        <f>SUM(T5:T65)</f>
        <v>0</v>
      </c>
      <c r="V67" s="116">
        <f>SUM(V5:V65)</f>
        <v>208077</v>
      </c>
      <c r="W67" s="116">
        <f>SUM(W5:W65)</f>
        <v>108</v>
      </c>
      <c r="X67" s="116">
        <f>SUM(X5:X65)</f>
        <v>8</v>
      </c>
      <c r="Z67" s="116">
        <f>SUM(Z5:Z65)</f>
        <v>184264</v>
      </c>
      <c r="AA67" s="116">
        <f>SUM(AA5:AA65)</f>
        <v>78</v>
      </c>
      <c r="AB67" s="116">
        <f>SUM(AB5:AB65)</f>
        <v>8</v>
      </c>
      <c r="AD67" s="116">
        <f>SUM(AD5:AD66)</f>
        <v>195027</v>
      </c>
      <c r="AE67" s="116">
        <f>SUM(AE5:AE66)</f>
        <v>0</v>
      </c>
      <c r="AF67" s="116">
        <f>SUM(AF5:AF66)</f>
        <v>2</v>
      </c>
      <c r="AH67" s="116">
        <f>SUM(AH5:AH66)</f>
        <v>0</v>
      </c>
      <c r="AI67" s="116">
        <f>SUM(AI5:AI66)</f>
        <v>0</v>
      </c>
      <c r="AJ67" s="116">
        <f>SUM(AJ5:AJ66)</f>
        <v>0</v>
      </c>
      <c r="AL67" s="116">
        <f>SUM(AL5:AL66)</f>
        <v>0</v>
      </c>
      <c r="AM67" s="116">
        <f>SUM(AM5:AM66)</f>
        <v>0</v>
      </c>
      <c r="AN67" s="116">
        <f>SUM(AN5:AN66)</f>
        <v>0</v>
      </c>
      <c r="AP67" s="116">
        <f>SUM(AP5:AP66)</f>
        <v>0</v>
      </c>
      <c r="AQ67" s="116">
        <f>SUM(AQ5:AQ66)</f>
        <v>0</v>
      </c>
      <c r="AR67" s="116">
        <f>SUM(AR5:AR66)</f>
        <v>0</v>
      </c>
      <c r="AT67" s="116">
        <f>SUM(AT5:AT66)</f>
        <v>0</v>
      </c>
      <c r="AU67" s="116">
        <f>SUM(AU5:AU66)</f>
        <v>0</v>
      </c>
      <c r="AV67" s="116">
        <f>SUM(AV5:AV66)</f>
        <v>0</v>
      </c>
      <c r="AX67" s="116">
        <f>SUM(AX5:AX66)</f>
        <v>0</v>
      </c>
      <c r="AY67" s="116">
        <f>SUM(AY5:AY66)</f>
        <v>0</v>
      </c>
      <c r="AZ67" s="116">
        <f>SUM(AZ5:AZ66)</f>
        <v>0</v>
      </c>
    </row>
    <row r="68" spans="1:256" x14ac:dyDescent="0.25">
      <c r="A68" s="124"/>
      <c r="B68" s="124"/>
      <c r="C68" s="133" t="s">
        <v>64</v>
      </c>
      <c r="D68" s="117" t="s">
        <v>181</v>
      </c>
      <c r="F68" s="118">
        <f>F67/(F67+G67+H67)</f>
        <v>0.999340556362185</v>
      </c>
      <c r="G68" s="118">
        <f>G67/(F67+G67+H67)</f>
        <v>4.6276746513336379E-4</v>
      </c>
      <c r="H68" s="118">
        <f>H67/(F67+G67+H67)</f>
        <v>1.9667617268167962E-4</v>
      </c>
      <c r="J68" s="118">
        <f>J67/(J67+K67+L67)</f>
        <v>0.99941057915351561</v>
      </c>
      <c r="K68" s="118">
        <f>K67/(J67+K67+L67)</f>
        <v>5.4505583653395194E-4</v>
      </c>
      <c r="L68" s="118">
        <f>L67/(J67+K67+L67)</f>
        <v>4.4365009950437948E-5</v>
      </c>
      <c r="N68" s="118">
        <f>N67/(N67+O67+P67)</f>
        <v>0.99997409410317029</v>
      </c>
      <c r="O68" s="118">
        <f>O67/(N67+O67+P67)</f>
        <v>2.5905896829765877E-5</v>
      </c>
      <c r="P68" s="118">
        <f>P67/(N67+O67+P67)</f>
        <v>0</v>
      </c>
      <c r="R68" s="118">
        <f>R67/(R67+S67+T67)</f>
        <v>0.99952461440946549</v>
      </c>
      <c r="S68" s="118">
        <f>S67/(R67+S67+T67)</f>
        <v>4.753855905345447E-4</v>
      </c>
      <c r="T68" s="118">
        <f>T67/(R67+S67+T67)</f>
        <v>0</v>
      </c>
      <c r="V68" s="118">
        <f>V67/(V67+W67+X67)</f>
        <v>0.99944282468670897</v>
      </c>
      <c r="W68" s="118">
        <f>W67/(V67+W67+X67)</f>
        <v>5.1874942961578922E-4</v>
      </c>
      <c r="X68" s="118">
        <f>X67/(V67+W67+X67)</f>
        <v>3.8425883675243642E-5</v>
      </c>
      <c r="Z68" s="118">
        <f>Z67/(Z67+AA67+AB67)</f>
        <v>0.99953349606726338</v>
      </c>
      <c r="AA68" s="118">
        <f>AA67/(Z67+AA67+AB67)</f>
        <v>4.2310821806346621E-4</v>
      </c>
      <c r="AB68" s="118">
        <f>AB67/(Z67+AA67+AB67)</f>
        <v>4.3395714673176027E-5</v>
      </c>
      <c r="AD68" s="118">
        <f>AD67/(AD67+AE67+AF67)</f>
        <v>0.99998974511482908</v>
      </c>
      <c r="AE68" s="118">
        <f>AE67/(AD67+AE67+AF67)</f>
        <v>0</v>
      </c>
      <c r="AF68" s="118">
        <f>AF67/(AD67+AE67+AF67)</f>
        <v>1.0254885170923298E-5</v>
      </c>
      <c r="AH68" s="118" t="e">
        <f>AH67/(AH67+AI67+AJ67)</f>
        <v>#DIV/0!</v>
      </c>
      <c r="AI68" s="118" t="e">
        <f>AI67/(AH67+AI67+AJ67)</f>
        <v>#DIV/0!</v>
      </c>
      <c r="AJ68" s="118" t="e">
        <f>AJ67/(AH67+AI67+AJ67)</f>
        <v>#DIV/0!</v>
      </c>
      <c r="AL68" s="118" t="e">
        <f>AL67/(AL67+AM67+AN67)</f>
        <v>#DIV/0!</v>
      </c>
      <c r="AM68" s="118" t="e">
        <f>AM67/(AL67+AM67+AN67)</f>
        <v>#DIV/0!</v>
      </c>
      <c r="AN68" s="118" t="e">
        <f>AN67/(AL67+AM67+AN67)</f>
        <v>#DIV/0!</v>
      </c>
      <c r="AP68" s="118" t="e">
        <f>AP67/(AP67+AQ67+AR67)</f>
        <v>#DIV/0!</v>
      </c>
      <c r="AQ68" s="118" t="e">
        <f>AQ67/(AP67+AQ67+AR67)</f>
        <v>#DIV/0!</v>
      </c>
      <c r="AR68" s="118" t="e">
        <f>AR67/(AP67+AQ67+AR67)</f>
        <v>#DIV/0!</v>
      </c>
      <c r="AT68" s="118" t="e">
        <f>AT67/(AT67+AU67+AV67)</f>
        <v>#DIV/0!</v>
      </c>
      <c r="AU68" s="118" t="e">
        <f>AU67/(AT67+AU67+AV67)</f>
        <v>#DIV/0!</v>
      </c>
      <c r="AV68" s="118" t="e">
        <f>AV67/(AT67+AU67+AV67)</f>
        <v>#DIV/0!</v>
      </c>
      <c r="AX68" s="118" t="e">
        <f>AX67/(AX67+AY67+AZ67)</f>
        <v>#DIV/0!</v>
      </c>
      <c r="AY68" s="118" t="e">
        <f>AY67/(AX67+AY67+AZ67)</f>
        <v>#DIV/0!</v>
      </c>
      <c r="AZ68" s="118" t="e">
        <f>AZ67/(AX67+AY67+AZ67)</f>
        <v>#DIV/0!</v>
      </c>
    </row>
    <row r="69" spans="1:256" x14ac:dyDescent="0.25">
      <c r="A69" s="131"/>
      <c r="B69" s="131"/>
      <c r="C69" s="131"/>
      <c r="D69" s="132"/>
      <c r="F69" s="118"/>
      <c r="G69" s="118"/>
      <c r="H69" s="118"/>
      <c r="J69" s="118"/>
      <c r="K69" s="118"/>
      <c r="L69" s="118"/>
      <c r="N69" s="118"/>
      <c r="O69" s="118"/>
      <c r="P69" s="118"/>
      <c r="R69" s="118"/>
      <c r="S69" s="118"/>
      <c r="T69" s="118"/>
      <c r="V69" s="118"/>
      <c r="W69" s="118"/>
      <c r="X69" s="118"/>
      <c r="Y69" s="134"/>
      <c r="Z69" s="118"/>
      <c r="AA69" s="118"/>
      <c r="AB69" s="118"/>
      <c r="AC69" s="134"/>
      <c r="AD69" s="118"/>
      <c r="AE69" s="118"/>
      <c r="AF69" s="118"/>
      <c r="AG69" s="134"/>
      <c r="AH69" s="118"/>
      <c r="AI69" s="118"/>
      <c r="AJ69" s="118"/>
      <c r="AK69" s="134"/>
      <c r="AL69" s="118"/>
      <c r="AM69" s="118"/>
      <c r="AN69" s="118"/>
      <c r="AO69" s="134"/>
      <c r="AP69" s="118"/>
      <c r="AQ69" s="118"/>
      <c r="AR69" s="118"/>
      <c r="AS69" s="134"/>
      <c r="AT69" s="118"/>
      <c r="AU69" s="118"/>
      <c r="AV69" s="118"/>
      <c r="AW69" s="134"/>
      <c r="AX69" s="118"/>
      <c r="AY69" s="118"/>
      <c r="AZ69" s="118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134"/>
      <c r="DV69" s="134"/>
      <c r="DW69" s="134"/>
      <c r="DX69" s="134"/>
      <c r="DY69" s="134"/>
      <c r="DZ69" s="134"/>
      <c r="EA69" s="134"/>
      <c r="EB69" s="134"/>
      <c r="EC69" s="134"/>
      <c r="ED69" s="134"/>
      <c r="EE69" s="134"/>
      <c r="EF69" s="134"/>
      <c r="EG69" s="134"/>
      <c r="EH69" s="134"/>
      <c r="EI69" s="134"/>
      <c r="EJ69" s="134"/>
      <c r="EK69" s="134"/>
      <c r="EL69" s="134"/>
      <c r="EM69" s="134"/>
      <c r="EN69" s="134"/>
      <c r="EO69" s="134"/>
      <c r="EP69" s="134"/>
      <c r="EQ69" s="134"/>
      <c r="ER69" s="134"/>
      <c r="ES69" s="134"/>
      <c r="ET69" s="134"/>
      <c r="EU69" s="134"/>
      <c r="EV69" s="134"/>
      <c r="EW69" s="134"/>
      <c r="EX69" s="134"/>
      <c r="EY69" s="134"/>
      <c r="EZ69" s="134"/>
      <c r="FA69" s="134"/>
      <c r="FB69" s="134"/>
      <c r="FC69" s="134"/>
      <c r="FD69" s="134"/>
      <c r="FE69" s="134"/>
      <c r="FF69" s="134"/>
      <c r="FG69" s="134"/>
      <c r="FH69" s="134"/>
      <c r="FI69" s="134"/>
      <c r="FJ69" s="134"/>
      <c r="FK69" s="134"/>
      <c r="FL69" s="134"/>
      <c r="FM69" s="134"/>
      <c r="FN69" s="134"/>
      <c r="FO69" s="134"/>
      <c r="FP69" s="134"/>
      <c r="FQ69" s="134"/>
      <c r="FR69" s="134"/>
      <c r="FS69" s="134"/>
      <c r="FT69" s="134"/>
      <c r="FU69" s="134"/>
      <c r="FV69" s="134"/>
      <c r="FW69" s="134"/>
      <c r="FX69" s="134"/>
      <c r="FY69" s="134"/>
      <c r="FZ69" s="134"/>
      <c r="GA69" s="134"/>
      <c r="GB69" s="134"/>
      <c r="GC69" s="134"/>
      <c r="GD69" s="134"/>
      <c r="GE69" s="134"/>
      <c r="GF69" s="134"/>
      <c r="GG69" s="134"/>
      <c r="GH69" s="134"/>
      <c r="GI69" s="134"/>
      <c r="GJ69" s="134"/>
      <c r="GK69" s="134"/>
      <c r="GL69" s="134"/>
      <c r="GM69" s="134"/>
      <c r="GN69" s="134"/>
      <c r="GO69" s="134"/>
      <c r="GP69" s="134"/>
      <c r="GQ69" s="134"/>
      <c r="GR69" s="134"/>
      <c r="GS69" s="134"/>
      <c r="GT69" s="134"/>
      <c r="GU69" s="134"/>
      <c r="GV69" s="134"/>
      <c r="GW69" s="134"/>
      <c r="GX69" s="134"/>
      <c r="GY69" s="134"/>
      <c r="GZ69" s="134"/>
      <c r="HA69" s="134"/>
      <c r="HB69" s="134"/>
      <c r="HC69" s="134"/>
      <c r="HD69" s="134"/>
      <c r="HE69" s="134"/>
      <c r="HF69" s="134"/>
      <c r="HG69" s="134"/>
      <c r="HH69" s="134"/>
      <c r="HI69" s="134"/>
      <c r="HJ69" s="134"/>
      <c r="HK69" s="134"/>
      <c r="HL69" s="134"/>
      <c r="HM69" s="134"/>
      <c r="HN69" s="134"/>
      <c r="HO69" s="134"/>
      <c r="HP69" s="134"/>
      <c r="HQ69" s="134"/>
      <c r="HR69" s="134"/>
      <c r="HS69" s="134"/>
      <c r="HT69" s="134"/>
      <c r="HU69" s="134"/>
      <c r="HV69" s="134"/>
      <c r="HW69" s="134"/>
      <c r="HX69" s="134"/>
      <c r="HY69" s="134"/>
      <c r="HZ69" s="134"/>
      <c r="IA69" s="134"/>
      <c r="IB69" s="134"/>
      <c r="IC69" s="134"/>
      <c r="ID69" s="134"/>
      <c r="IE69" s="134"/>
      <c r="IF69" s="134"/>
      <c r="IG69" s="134"/>
      <c r="IH69" s="134"/>
      <c r="II69" s="134"/>
      <c r="IJ69" s="134"/>
      <c r="IK69" s="134"/>
      <c r="IL69" s="134"/>
      <c r="IM69" s="134"/>
      <c r="IN69" s="134"/>
      <c r="IO69" s="134"/>
      <c r="IP69" s="134"/>
      <c r="IQ69" s="134"/>
      <c r="IR69" s="134"/>
      <c r="IS69" s="134"/>
      <c r="IT69" s="134"/>
      <c r="IU69" s="134"/>
      <c r="IV69" s="134"/>
    </row>
    <row r="70" spans="1:256" x14ac:dyDescent="0.25">
      <c r="A70" s="124"/>
      <c r="B70" s="124"/>
      <c r="C70" s="133" t="s">
        <v>561</v>
      </c>
      <c r="D70" s="116" t="s">
        <v>59</v>
      </c>
      <c r="F70" s="116">
        <f>F67</f>
        <v>172759</v>
      </c>
      <c r="G70" s="116">
        <f>G67</f>
        <v>80</v>
      </c>
      <c r="H70" s="116">
        <f>H67</f>
        <v>34</v>
      </c>
      <c r="J70" s="116">
        <f>F70+J67</f>
        <v>330448</v>
      </c>
      <c r="K70" s="116">
        <f>G70+K67</f>
        <v>166</v>
      </c>
      <c r="L70" s="116">
        <f>H70+L67</f>
        <v>41</v>
      </c>
      <c r="N70" s="116">
        <f>J70+N67</f>
        <v>484849</v>
      </c>
      <c r="O70" s="116">
        <f>K70+O67</f>
        <v>170</v>
      </c>
      <c r="P70" s="116">
        <f>L70+P67</f>
        <v>41</v>
      </c>
      <c r="R70" s="116">
        <f>N70+R67</f>
        <v>598387</v>
      </c>
      <c r="S70" s="116">
        <f>O70+S67</f>
        <v>224</v>
      </c>
      <c r="T70" s="116">
        <f>P70+T67</f>
        <v>41</v>
      </c>
      <c r="V70" s="116">
        <f>R70+V67</f>
        <v>806464</v>
      </c>
      <c r="W70" s="116">
        <f>S70+W67</f>
        <v>332</v>
      </c>
      <c r="X70" s="116">
        <f>T70+X67</f>
        <v>49</v>
      </c>
      <c r="Y70" s="134"/>
      <c r="Z70" s="116">
        <f>V70+Z67</f>
        <v>990728</v>
      </c>
      <c r="AA70" s="116">
        <f>W70+AA67</f>
        <v>410</v>
      </c>
      <c r="AB70" s="116">
        <f>X70+AB67</f>
        <v>57</v>
      </c>
      <c r="AC70" s="134"/>
      <c r="AD70" s="116">
        <f>Z70+AD67</f>
        <v>1185755</v>
      </c>
      <c r="AE70" s="116">
        <f>AA70+AE67</f>
        <v>410</v>
      </c>
      <c r="AF70" s="116">
        <f>AB70+AF67</f>
        <v>59</v>
      </c>
      <c r="AG70" s="134"/>
      <c r="AH70" s="116">
        <f>AD70+AH67</f>
        <v>1185755</v>
      </c>
      <c r="AI70" s="116">
        <f>AE70+AI67</f>
        <v>410</v>
      </c>
      <c r="AJ70" s="116">
        <f>AF70+AJ67</f>
        <v>59</v>
      </c>
      <c r="AK70" s="134"/>
      <c r="AL70" s="116">
        <f>AH70+AL67</f>
        <v>1185755</v>
      </c>
      <c r="AM70" s="116">
        <f>AI70+AM67</f>
        <v>410</v>
      </c>
      <c r="AN70" s="116">
        <f>AJ70+AN67</f>
        <v>59</v>
      </c>
      <c r="AO70" s="134"/>
      <c r="AP70" s="116">
        <f>AL70+AP67</f>
        <v>1185755</v>
      </c>
      <c r="AQ70" s="116">
        <f>AM70+AQ67</f>
        <v>410</v>
      </c>
      <c r="AR70" s="116">
        <f>AN70+AR67</f>
        <v>59</v>
      </c>
      <c r="AS70" s="134"/>
      <c r="AT70" s="116">
        <f>AP70+AT67</f>
        <v>1185755</v>
      </c>
      <c r="AU70" s="116">
        <f>AQ70+AU67</f>
        <v>410</v>
      </c>
      <c r="AV70" s="116">
        <f>AR70+AV67</f>
        <v>59</v>
      </c>
      <c r="AW70" s="134"/>
      <c r="AX70" s="116">
        <f>AT70+AX67</f>
        <v>1185755</v>
      </c>
      <c r="AY70" s="116">
        <f>AU70+AY67</f>
        <v>410</v>
      </c>
      <c r="AZ70" s="116">
        <f>AV70+AZ67</f>
        <v>59</v>
      </c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  <c r="EX70" s="134"/>
      <c r="EY70" s="134"/>
      <c r="EZ70" s="134"/>
      <c r="FA70" s="134"/>
      <c r="FB70" s="134"/>
      <c r="FC70" s="134"/>
      <c r="FD70" s="134"/>
      <c r="FE70" s="134"/>
      <c r="FF70" s="134"/>
      <c r="FG70" s="134"/>
      <c r="FH70" s="134"/>
      <c r="FI70" s="134"/>
      <c r="FJ70" s="134"/>
      <c r="FK70" s="134"/>
      <c r="FL70" s="134"/>
      <c r="FM70" s="134"/>
      <c r="FN70" s="134"/>
      <c r="FO70" s="134"/>
      <c r="FP70" s="134"/>
      <c r="FQ70" s="134"/>
      <c r="FR70" s="134"/>
      <c r="FS70" s="134"/>
      <c r="FT70" s="134"/>
      <c r="FU70" s="134"/>
      <c r="FV70" s="134"/>
      <c r="FW70" s="134"/>
      <c r="FX70" s="134"/>
      <c r="FY70" s="134"/>
      <c r="FZ70" s="134"/>
      <c r="GA70" s="134"/>
      <c r="GB70" s="134"/>
      <c r="GC70" s="134"/>
      <c r="GD70" s="134"/>
      <c r="GE70" s="134"/>
      <c r="GF70" s="134"/>
      <c r="GG70" s="134"/>
      <c r="GH70" s="134"/>
      <c r="GI70" s="134"/>
      <c r="GJ70" s="134"/>
      <c r="GK70" s="134"/>
      <c r="GL70" s="134"/>
      <c r="GM70" s="134"/>
      <c r="GN70" s="134"/>
      <c r="GO70" s="134"/>
      <c r="GP70" s="134"/>
      <c r="GQ70" s="134"/>
      <c r="GR70" s="134"/>
      <c r="GS70" s="134"/>
      <c r="GT70" s="134"/>
      <c r="GU70" s="134"/>
      <c r="GV70" s="134"/>
      <c r="GW70" s="134"/>
      <c r="GX70" s="134"/>
      <c r="GY70" s="134"/>
      <c r="GZ70" s="134"/>
      <c r="HA70" s="134"/>
      <c r="HB70" s="134"/>
      <c r="HC70" s="134"/>
      <c r="HD70" s="134"/>
      <c r="HE70" s="134"/>
      <c r="HF70" s="134"/>
      <c r="HG70" s="134"/>
      <c r="HH70" s="134"/>
      <c r="HI70" s="134"/>
      <c r="HJ70" s="134"/>
      <c r="HK70" s="134"/>
      <c r="HL70" s="134"/>
      <c r="HM70" s="134"/>
      <c r="HN70" s="134"/>
      <c r="HO70" s="134"/>
      <c r="HP70" s="134"/>
      <c r="HQ70" s="134"/>
      <c r="HR70" s="134"/>
      <c r="HS70" s="134"/>
      <c r="HT70" s="134"/>
      <c r="HU70" s="134"/>
      <c r="HV70" s="134"/>
      <c r="HW70" s="134"/>
      <c r="HX70" s="134"/>
      <c r="HY70" s="134"/>
      <c r="HZ70" s="134"/>
      <c r="IA70" s="134"/>
      <c r="IB70" s="134"/>
      <c r="IC70" s="134"/>
      <c r="ID70" s="134"/>
      <c r="IE70" s="134"/>
      <c r="IF70" s="134"/>
      <c r="IG70" s="134"/>
      <c r="IH70" s="134"/>
      <c r="II70" s="134"/>
      <c r="IJ70" s="134"/>
      <c r="IK70" s="134"/>
      <c r="IL70" s="134"/>
      <c r="IM70" s="134"/>
      <c r="IN70" s="134"/>
      <c r="IO70" s="134"/>
      <c r="IP70" s="134"/>
      <c r="IQ70" s="134"/>
      <c r="IR70" s="134"/>
      <c r="IS70" s="134"/>
      <c r="IT70" s="134"/>
      <c r="IU70" s="134"/>
      <c r="IV70" s="134"/>
    </row>
    <row r="71" spans="1:256" x14ac:dyDescent="0.25">
      <c r="A71" s="124"/>
      <c r="B71" s="124"/>
      <c r="C71" s="133" t="s">
        <v>64</v>
      </c>
      <c r="D71" s="117" t="s">
        <v>181</v>
      </c>
      <c r="F71" s="118">
        <f>F70/(F70+G70+H70)</f>
        <v>0.999340556362185</v>
      </c>
      <c r="G71" s="118">
        <f>G70/(F70+G70+H70)</f>
        <v>4.6276746513336379E-4</v>
      </c>
      <c r="H71" s="118">
        <f>H70/(F70+G70+H70)</f>
        <v>1.9667617268167962E-4</v>
      </c>
      <c r="J71" s="118">
        <f>J70/(J70+K70+L70)</f>
        <v>0.99937396984772653</v>
      </c>
      <c r="K71" s="118">
        <f>K70/(J70+K70+L70)</f>
        <v>5.0203384191982578E-4</v>
      </c>
      <c r="L71" s="118">
        <f>L70/(J70+K70+L70)</f>
        <v>1.2399631035369191E-4</v>
      </c>
      <c r="N71" s="118">
        <f>N70/(N70+O70+P70)</f>
        <v>0.99956500226776068</v>
      </c>
      <c r="O71" s="118">
        <f>O70/(N70+O70+P70)</f>
        <v>3.5047210654352037E-4</v>
      </c>
      <c r="P71" s="118">
        <f>P70/(N70+O70+P70)</f>
        <v>8.4525625695790218E-5</v>
      </c>
      <c r="R71" s="118">
        <f>R70/(R70+S70+T70)</f>
        <v>0.99955733882121833</v>
      </c>
      <c r="S71" s="118">
        <f>S70/(R70+S70+T70)</f>
        <v>3.7417397753619798E-4</v>
      </c>
      <c r="T71" s="118">
        <f>T70/(R70+S70+T70)</f>
        <v>6.8487201245464815E-5</v>
      </c>
      <c r="V71" s="118">
        <f>V70/(V70+W70+X70)</f>
        <v>0.99952779034387029</v>
      </c>
      <c r="W71" s="118">
        <f>W70/(V70+W70+X70)</f>
        <v>4.1147928040701745E-4</v>
      </c>
      <c r="X71" s="118">
        <f>X70/(V70+W70+X70)</f>
        <v>6.0730375722722455E-5</v>
      </c>
      <c r="Y71" s="134"/>
      <c r="Z71" s="118">
        <f>Z70/(Z70+AA70+AB70)</f>
        <v>0.99952885153779025</v>
      </c>
      <c r="AA71" s="118">
        <f>AA70/(Z70+AA70+AB70)</f>
        <v>4.1364211885653175E-4</v>
      </c>
      <c r="AB71" s="118">
        <f>AB70/(Z70+AA70+AB70)</f>
        <v>5.7506343353225146E-5</v>
      </c>
      <c r="AC71" s="134"/>
      <c r="AD71" s="118">
        <f>AD70/(AD70+AE70+AF70)</f>
        <v>0.99960462779373882</v>
      </c>
      <c r="AE71" s="118">
        <f>AE70/(AD70+AE70+AF70)</f>
        <v>3.4563455131577173E-4</v>
      </c>
      <c r="AF71" s="118">
        <f>AF70/(AD70+AE70+AF70)</f>
        <v>4.9737654945440324E-5</v>
      </c>
      <c r="AG71" s="134"/>
      <c r="AH71" s="118">
        <f>AH70/(AH70+AI70+AJ70)</f>
        <v>0.99960462779373882</v>
      </c>
      <c r="AI71" s="118">
        <f>AI70/(AH70+AI70+AJ70)</f>
        <v>3.4563455131577173E-4</v>
      </c>
      <c r="AJ71" s="118">
        <f>AJ70/(AH70+AI70+AJ70)</f>
        <v>4.9737654945440324E-5</v>
      </c>
      <c r="AK71" s="134"/>
      <c r="AL71" s="118">
        <f>AL70/(AL70+AM70+AN70)</f>
        <v>0.99960462779373882</v>
      </c>
      <c r="AM71" s="118">
        <f>AM70/(AL70+AM70+AN70)</f>
        <v>3.4563455131577173E-4</v>
      </c>
      <c r="AN71" s="118">
        <f>AN70/(AL70+AM70+AN70)</f>
        <v>4.9737654945440324E-5</v>
      </c>
      <c r="AO71" s="134"/>
      <c r="AP71" s="118">
        <f>AP70/(AP70+AQ70+AR70)</f>
        <v>0.99960462779373882</v>
      </c>
      <c r="AQ71" s="118">
        <f>AQ70/(AP70+AQ70+AR70)</f>
        <v>3.4563455131577173E-4</v>
      </c>
      <c r="AR71" s="118">
        <f>AR70/(AP70+AQ70+AR70)</f>
        <v>4.9737654945440324E-5</v>
      </c>
      <c r="AS71" s="134"/>
      <c r="AT71" s="118">
        <f>AT70/(AT70+AU70+AV70)</f>
        <v>0.99960462779373882</v>
      </c>
      <c r="AU71" s="118">
        <f>AU70/(AT70+AU70+AV70)</f>
        <v>3.4563455131577173E-4</v>
      </c>
      <c r="AV71" s="118">
        <f>AV70/(AT70+AU70+AV70)</f>
        <v>4.9737654945440324E-5</v>
      </c>
      <c r="AW71" s="134"/>
      <c r="AX71" s="118">
        <f>AX70/(AX70+AY70+AZ70)</f>
        <v>0.99960462779373882</v>
      </c>
      <c r="AY71" s="118">
        <f>AY70/(AX70+AY70+AZ70)</f>
        <v>3.4563455131577173E-4</v>
      </c>
      <c r="AZ71" s="118">
        <f>AZ70/(AX70+AY70+AZ70)</f>
        <v>4.9737654945440324E-5</v>
      </c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134"/>
      <c r="DV71" s="134"/>
      <c r="DW71" s="134"/>
      <c r="DX71" s="134"/>
      <c r="DY71" s="134"/>
      <c r="DZ71" s="134"/>
      <c r="EA71" s="134"/>
      <c r="EB71" s="134"/>
      <c r="EC71" s="134"/>
      <c r="ED71" s="134"/>
      <c r="EE71" s="134"/>
      <c r="EF71" s="134"/>
      <c r="EG71" s="134"/>
      <c r="EH71" s="134"/>
      <c r="EI71" s="134"/>
      <c r="EJ71" s="134"/>
      <c r="EK71" s="134"/>
      <c r="EL71" s="134"/>
      <c r="EM71" s="134"/>
      <c r="EN71" s="134"/>
      <c r="EO71" s="134"/>
      <c r="EP71" s="134"/>
      <c r="EQ71" s="134"/>
      <c r="ER71" s="134"/>
      <c r="ES71" s="134"/>
      <c r="ET71" s="134"/>
      <c r="EU71" s="134"/>
      <c r="EV71" s="134"/>
      <c r="EW71" s="134"/>
      <c r="EX71" s="134"/>
      <c r="EY71" s="134"/>
      <c r="EZ71" s="134"/>
      <c r="FA71" s="134"/>
      <c r="FB71" s="134"/>
      <c r="FC71" s="134"/>
      <c r="FD71" s="134"/>
      <c r="FE71" s="134"/>
      <c r="FF71" s="134"/>
      <c r="FG71" s="134"/>
      <c r="FH71" s="134"/>
      <c r="FI71" s="134"/>
      <c r="FJ71" s="134"/>
      <c r="FK71" s="134"/>
      <c r="FL71" s="134"/>
      <c r="FM71" s="134"/>
      <c r="FN71" s="134"/>
      <c r="FO71" s="134"/>
      <c r="FP71" s="134"/>
      <c r="FQ71" s="134"/>
      <c r="FR71" s="134"/>
      <c r="FS71" s="134"/>
      <c r="FT71" s="134"/>
      <c r="FU71" s="134"/>
      <c r="FV71" s="134"/>
      <c r="FW71" s="134"/>
      <c r="FX71" s="134"/>
      <c r="FY71" s="134"/>
      <c r="FZ71" s="134"/>
      <c r="GA71" s="134"/>
      <c r="GB71" s="134"/>
      <c r="GC71" s="134"/>
      <c r="GD71" s="134"/>
      <c r="GE71" s="134"/>
      <c r="GF71" s="134"/>
      <c r="GG71" s="134"/>
      <c r="GH71" s="134"/>
      <c r="GI71" s="134"/>
      <c r="GJ71" s="134"/>
      <c r="GK71" s="134"/>
      <c r="GL71" s="134"/>
      <c r="GM71" s="134"/>
      <c r="GN71" s="134"/>
      <c r="GO71" s="134"/>
      <c r="GP71" s="134"/>
      <c r="GQ71" s="134"/>
      <c r="GR71" s="134"/>
      <c r="GS71" s="134"/>
      <c r="GT71" s="134"/>
      <c r="GU71" s="134"/>
      <c r="GV71" s="134"/>
      <c r="GW71" s="134"/>
      <c r="GX71" s="134"/>
      <c r="GY71" s="134"/>
      <c r="GZ71" s="134"/>
      <c r="HA71" s="134"/>
      <c r="HB71" s="134"/>
      <c r="HC71" s="134"/>
      <c r="HD71" s="134"/>
      <c r="HE71" s="134"/>
      <c r="HF71" s="134"/>
      <c r="HG71" s="134"/>
      <c r="HH71" s="134"/>
      <c r="HI71" s="134"/>
      <c r="HJ71" s="134"/>
      <c r="HK71" s="134"/>
      <c r="HL71" s="134"/>
      <c r="HM71" s="134"/>
      <c r="HN71" s="134"/>
      <c r="HO71" s="134"/>
      <c r="HP71" s="134"/>
      <c r="HQ71" s="134"/>
      <c r="HR71" s="134"/>
      <c r="HS71" s="134"/>
      <c r="HT71" s="134"/>
      <c r="HU71" s="134"/>
      <c r="HV71" s="134"/>
      <c r="HW71" s="134"/>
      <c r="HX71" s="134"/>
      <c r="HY71" s="134"/>
      <c r="HZ71" s="134"/>
      <c r="IA71" s="134"/>
      <c r="IB71" s="134"/>
      <c r="IC71" s="134"/>
      <c r="ID71" s="134"/>
      <c r="IE71" s="134"/>
      <c r="IF71" s="134"/>
      <c r="IG71" s="134"/>
      <c r="IH71" s="134"/>
      <c r="II71" s="134"/>
      <c r="IJ71" s="134"/>
      <c r="IK71" s="134"/>
      <c r="IL71" s="134"/>
      <c r="IM71" s="134"/>
      <c r="IN71" s="134"/>
      <c r="IO71" s="134"/>
      <c r="IP71" s="134"/>
      <c r="IQ71" s="134"/>
      <c r="IR71" s="134"/>
      <c r="IS71" s="134"/>
      <c r="IT71" s="134"/>
      <c r="IU71" s="134"/>
      <c r="IV71" s="134"/>
    </row>
  </sheetData>
  <mergeCells count="16">
    <mergeCell ref="J2:L2"/>
    <mergeCell ref="A2:A3"/>
    <mergeCell ref="B2:B3"/>
    <mergeCell ref="C2:C3"/>
    <mergeCell ref="D2:D3"/>
    <mergeCell ref="F2:H2"/>
    <mergeCell ref="AD2:AF2"/>
    <mergeCell ref="N2:P2"/>
    <mergeCell ref="R2:T2"/>
    <mergeCell ref="V2:X2"/>
    <mergeCell ref="Z2:AB2"/>
    <mergeCell ref="AP2:AR2"/>
    <mergeCell ref="AT2:AV2"/>
    <mergeCell ref="AX2:AZ2"/>
    <mergeCell ref="AH2:AJ2"/>
    <mergeCell ref="AL2:A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GSPH REPAIR REJECT 2026</vt:lpstr>
      <vt:lpstr>DETAIL 2026</vt:lpstr>
      <vt:lpstr>GSPH REPAIR REJECT 2026 (2)</vt:lpstr>
      <vt:lpstr>Sheet1</vt:lpstr>
      <vt:lpstr>PICA GSPH</vt:lpstr>
      <vt:lpstr>PICA GSPH FEB</vt:lpstr>
      <vt:lpstr>PICA GSPH MAR</vt:lpstr>
      <vt:lpstr>PICA GSPH APRIL</vt:lpstr>
      <vt:lpstr>PICA REPAIR</vt:lpstr>
      <vt:lpstr>PICA REJECT</vt:lpstr>
      <vt:lpstr>QTY A</vt:lpstr>
      <vt:lpstr>QTY B</vt:lpstr>
      <vt:lpstr>QTY C</vt:lpstr>
      <vt:lpstr>QTY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titien.setyawati</dc:creator>
  <cp:lastModifiedBy>Achmad Ramdani</cp:lastModifiedBy>
  <cp:lastPrinted>2026-07-01T09:16:48Z</cp:lastPrinted>
  <dcterms:created xsi:type="dcterms:W3CDTF">2019-02-11T01:57:46Z</dcterms:created>
  <dcterms:modified xsi:type="dcterms:W3CDTF">2026-08-08T06:08:26Z</dcterms:modified>
</cp:coreProperties>
</file>