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04"/>
  <workbookPr/>
  <mc:AlternateContent xmlns:mc="http://schemas.openxmlformats.org/markup-compatibility/2006">
    <mc:Choice Requires="x15">
      <x15ac:absPath xmlns:x15ac="http://schemas.microsoft.com/office/spreadsheetml/2010/11/ac" url="D:\Users\sapriadi\Downloads\"/>
    </mc:Choice>
  </mc:AlternateContent>
  <xr:revisionPtr revIDLastSave="0" documentId="8_{399F2AC5-995D-4390-9361-9CB06E462C40}" xr6:coauthVersionLast="47" xr6:coauthVersionMax="47" xr10:uidLastSave="{00000000-0000-0000-0000-000000000000}"/>
  <bookViews>
    <workbookView xWindow="0" yWindow="0" windowWidth="23040" windowHeight="10512" firstSheet="2" activeTab="2" xr2:uid="{00000000-000D-0000-FFFF-FFFF00000000}"/>
  </bookViews>
  <sheets>
    <sheet name="QUALITY" sheetId="4" r:id="rId1"/>
    <sheet name="PRODUKSI" sheetId="1" r:id="rId2"/>
    <sheet name="PPLC" sheetId="3" r:id="rId3"/>
    <sheet name="LAMPIRAN" sheetId="5" r:id="rId4"/>
    <sheet name="Sheet1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9" i="3" l="1"/>
  <c r="K41" i="3"/>
  <c r="K40" i="3"/>
  <c r="G30" i="1"/>
  <c r="G29" i="1"/>
  <c r="G28" i="1"/>
  <c r="G27" i="1"/>
  <c r="J17" i="1"/>
  <c r="G17" i="1"/>
  <c r="E24" i="1"/>
  <c r="E17" i="1"/>
  <c r="U34" i="1"/>
  <c r="G33" i="1"/>
  <c r="G32" i="1"/>
  <c r="G69" i="1"/>
  <c r="E94" i="1"/>
  <c r="C90" i="3"/>
  <c r="E67" i="1"/>
  <c r="G75" i="1"/>
  <c r="G74" i="1"/>
  <c r="G73" i="1"/>
  <c r="G72" i="1"/>
  <c r="U45" i="1"/>
  <c r="G71" i="1"/>
  <c r="E54" i="1"/>
  <c r="G88" i="1"/>
  <c r="U63" i="1"/>
  <c r="E80" i="1"/>
  <c r="G89" i="1"/>
  <c r="G61" i="1"/>
  <c r="G60" i="1"/>
  <c r="G87" i="1"/>
  <c r="G86" i="1"/>
  <c r="G85" i="1"/>
  <c r="E37" i="1"/>
  <c r="G43" i="1"/>
  <c r="G42" i="1"/>
  <c r="G41" i="1"/>
  <c r="G24" i="1"/>
  <c r="G56" i="1"/>
  <c r="G57" i="1"/>
  <c r="G58" i="1"/>
  <c r="G55" i="1"/>
  <c r="G38" i="1"/>
  <c r="G26" i="1"/>
  <c r="G25" i="1"/>
  <c r="I26" i="3"/>
  <c r="G84" i="1"/>
  <c r="C1" i="1"/>
  <c r="G49" i="1"/>
  <c r="G37" i="1"/>
  <c r="G83" i="1"/>
  <c r="G82" i="1"/>
  <c r="G97" i="1"/>
  <c r="G95" i="1"/>
  <c r="E48" i="1"/>
  <c r="E12" i="1" s="1"/>
  <c r="U98" i="1"/>
  <c r="D34" i="3"/>
  <c r="G96" i="1"/>
  <c r="K35" i="3"/>
  <c r="U77" i="1"/>
  <c r="G54" i="1"/>
  <c r="D29" i="3"/>
  <c r="E29" i="3"/>
  <c r="J19" i="1"/>
  <c r="U91" i="1"/>
  <c r="G94" i="1"/>
  <c r="G67" i="1"/>
  <c r="D19" i="3"/>
  <c r="E19" i="3"/>
  <c r="J19" i="3"/>
  <c r="G68" i="1"/>
  <c r="K38" i="3"/>
  <c r="K37" i="3"/>
  <c r="K36" i="3"/>
  <c r="G80" i="1"/>
  <c r="J18" i="1"/>
  <c r="G16" i="4"/>
  <c r="G113" i="1"/>
  <c r="I113" i="1" s="1"/>
  <c r="G81" i="1"/>
  <c r="G104" i="1"/>
  <c r="I104" i="1" s="1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I88" i="3"/>
  <c r="G88" i="3"/>
  <c r="I87" i="3"/>
  <c r="G87" i="3"/>
  <c r="I86" i="3"/>
  <c r="G86" i="3"/>
  <c r="I85" i="3"/>
  <c r="G85" i="3"/>
  <c r="I84" i="3"/>
  <c r="G84" i="3"/>
  <c r="C82" i="3"/>
  <c r="I96" i="3"/>
  <c r="G96" i="3"/>
  <c r="I95" i="3"/>
  <c r="G95" i="3"/>
  <c r="I94" i="3"/>
  <c r="G94" i="3"/>
  <c r="I93" i="3"/>
  <c r="G93" i="3"/>
  <c r="I92" i="3"/>
  <c r="G92" i="3"/>
  <c r="C1" i="4"/>
  <c r="H26" i="3"/>
  <c r="J26" i="3"/>
  <c r="H9" i="4"/>
  <c r="D26" i="3"/>
  <c r="E26" i="3"/>
  <c r="I78" i="3"/>
  <c r="E11" i="3"/>
  <c r="I77" i="3"/>
  <c r="C98" i="3"/>
  <c r="C109" i="3"/>
  <c r="G111" i="3"/>
  <c r="I111" i="3"/>
  <c r="G112" i="3"/>
  <c r="I112" i="3"/>
  <c r="G113" i="3"/>
  <c r="I113" i="3"/>
  <c r="G114" i="3"/>
  <c r="I114" i="3"/>
  <c r="G115" i="3"/>
  <c r="I115" i="3"/>
  <c r="G116" i="3"/>
  <c r="I116" i="3"/>
  <c r="G117" i="3"/>
  <c r="I117" i="3"/>
  <c r="G118" i="3"/>
  <c r="I118" i="3"/>
  <c r="D73" i="3"/>
  <c r="I74" i="3"/>
  <c r="I75" i="3"/>
  <c r="I76" i="3"/>
  <c r="I73" i="3"/>
  <c r="U51" i="1"/>
  <c r="E10" i="1"/>
  <c r="D21" i="3"/>
  <c r="G105" i="3"/>
  <c r="I105" i="3"/>
  <c r="G106" i="3"/>
  <c r="I106" i="3"/>
  <c r="G100" i="3"/>
  <c r="I100" i="3"/>
  <c r="G101" i="3"/>
  <c r="I101" i="3"/>
  <c r="G102" i="3"/>
  <c r="I102" i="3"/>
  <c r="G103" i="3"/>
  <c r="I103" i="3"/>
  <c r="G104" i="3"/>
  <c r="I104" i="3"/>
  <c r="G107" i="3"/>
  <c r="I107" i="3"/>
  <c r="J29" i="3"/>
  <c r="E21" i="3"/>
  <c r="J21" i="3"/>
  <c r="I123" i="1"/>
  <c r="G105" i="1"/>
  <c r="I105" i="1" s="1"/>
  <c r="S16" i="1"/>
  <c r="S14" i="1"/>
  <c r="S12" i="1"/>
  <c r="S10" i="1"/>
  <c r="G4" i="1"/>
  <c r="G5" i="1"/>
  <c r="G6" i="1"/>
  <c r="T117" i="1"/>
  <c r="E16" i="4"/>
  <c r="H10" i="4"/>
  <c r="E34" i="3"/>
  <c r="E73" i="3"/>
  <c r="E49" i="3"/>
  <c r="J25" i="3"/>
  <c r="E25" i="3"/>
  <c r="J24" i="3"/>
  <c r="D24" i="3"/>
  <c r="E24" i="3"/>
  <c r="J23" i="3"/>
  <c r="D23" i="3"/>
  <c r="E23" i="3"/>
  <c r="J22" i="3"/>
  <c r="D22" i="3"/>
  <c r="E22" i="3"/>
  <c r="J20" i="3"/>
  <c r="D20" i="3"/>
  <c r="E20" i="3"/>
  <c r="E15" i="3"/>
  <c r="E14" i="3"/>
  <c r="E13" i="3"/>
  <c r="E12" i="3"/>
  <c r="E10" i="3"/>
  <c r="E9" i="3"/>
  <c r="E8" i="3"/>
  <c r="E7" i="3"/>
  <c r="E6" i="3"/>
  <c r="E5" i="3"/>
  <c r="I124" i="1"/>
  <c r="I125" i="1"/>
  <c r="I126" i="1"/>
  <c r="G106" i="1"/>
  <c r="I106" i="1" s="1"/>
  <c r="G107" i="1"/>
  <c r="I107" i="1" s="1"/>
  <c r="G108" i="1"/>
  <c r="I108" i="1" s="1"/>
  <c r="G109" i="1"/>
  <c r="I109" i="1" s="1"/>
  <c r="G110" i="1"/>
  <c r="I110" i="1" s="1"/>
  <c r="G111" i="1"/>
  <c r="I111" i="1" s="1"/>
  <c r="G112" i="1"/>
  <c r="I112" i="1" s="1"/>
  <c r="G114" i="1"/>
  <c r="I114" i="1" s="1"/>
  <c r="G115" i="1"/>
  <c r="I115" i="1" s="1"/>
  <c r="G116" i="1"/>
  <c r="G103" i="1"/>
  <c r="I103" i="1"/>
  <c r="K105" i="1"/>
  <c r="K115" i="1"/>
  <c r="K104" i="1"/>
  <c r="K103" i="1"/>
  <c r="K116" i="1"/>
  <c r="K114" i="1"/>
  <c r="K113" i="1"/>
  <c r="K112" i="1"/>
  <c r="K111" i="1"/>
  <c r="K110" i="1"/>
  <c r="K109" i="1"/>
  <c r="K108" i="1"/>
  <c r="K107" i="1"/>
  <c r="K106" i="1"/>
  <c r="K117" i="1"/>
  <c r="H11" i="4" l="1"/>
  <c r="H16" i="4"/>
  <c r="G48" i="1"/>
</calcChain>
</file>

<file path=xl/sharedStrings.xml><?xml version="1.0" encoding="utf-8"?>
<sst xmlns="http://schemas.openxmlformats.org/spreadsheetml/2006/main" count="573" uniqueCount="304">
  <si>
    <t xml:space="preserve">ASAKAI </t>
  </si>
  <si>
    <t>1. QUALITY</t>
  </si>
  <si>
    <t>TARGET</t>
  </si>
  <si>
    <t>ACTUAL</t>
  </si>
  <si>
    <t>ACCUM</t>
  </si>
  <si>
    <t>HIGHLIGHT ISSUE</t>
  </si>
  <si>
    <t>PIC</t>
  </si>
  <si>
    <t>CUSTOMERS CLAIM</t>
  </si>
  <si>
    <t>INTERNAL FLOWOUT</t>
  </si>
  <si>
    <t>SUPPLIER FLOWOUT</t>
  </si>
  <si>
    <t>PPM</t>
  </si>
  <si>
    <t>TARGET CUSTOMER</t>
  </si>
  <si>
    <t>TARGET IPPI</t>
  </si>
  <si>
    <t>QTY DELIVERY AGST</t>
  </si>
  <si>
    <t>ACTUAL AGST</t>
  </si>
  <si>
    <t>QTY DELIVERY YTD</t>
  </si>
  <si>
    <t>ADM</t>
  </si>
  <si>
    <t>TMMIN</t>
  </si>
  <si>
    <t>IAMI</t>
  </si>
  <si>
    <t xml:space="preserve">PAMA </t>
  </si>
  <si>
    <t xml:space="preserve">WULING </t>
  </si>
  <si>
    <t>HPM</t>
  </si>
  <si>
    <t>MMKI</t>
  </si>
  <si>
    <t>7,9</t>
  </si>
  <si>
    <t>\|</t>
  </si>
  <si>
    <t>\\</t>
  </si>
  <si>
    <t>TOTAL (YTD)</t>
  </si>
  <si>
    <t>1. SAFETY</t>
  </si>
  <si>
    <t>DIFF</t>
  </si>
  <si>
    <t>ACCIDENT</t>
  </si>
  <si>
    <t>INCCIDENT</t>
  </si>
  <si>
    <t>TRAFFIC ACCIDENT</t>
  </si>
  <si>
    <t>2. REPAIR, REJECT, GSPH</t>
  </si>
  <si>
    <t>REPAIR LINE</t>
  </si>
  <si>
    <t>HIIGHLIGHT ISSUE</t>
  </si>
  <si>
    <t>GSPH LINE</t>
  </si>
  <si>
    <t>PLAN</t>
  </si>
  <si>
    <t>LINE A</t>
  </si>
  <si>
    <t>1,2%</t>
  </si>
  <si>
    <t xml:space="preserve">C Line
- GT-5154/56 450/450 --&gt; Hasil Part Burry dan Baret
</t>
  </si>
  <si>
    <t>LINE B</t>
  </si>
  <si>
    <t>LINE C</t>
  </si>
  <si>
    <t>LINE D</t>
  </si>
  <si>
    <t>REJECT LINE</t>
  </si>
  <si>
    <t>COST</t>
  </si>
  <si>
    <t>ACCUM COST</t>
  </si>
  <si>
    <t>0,02%</t>
  </si>
  <si>
    <t>B LINE
- PB-034 Appearance neck (4pcs) JSC270C=1,4 X 200 X 910
8kg * 15.000 ---&gt; Rp. 120.010
- PH-031GU PArt Op-10 Minus(5pcs)PH-031GU=SAPH-440 - 3,2 X 300 X 640
24kg * 15.000 ---&gt; Rp. 361.728
- IB-036 Part Op-10 Neck(8pcs) JSH590R-P = 2 X 1160 X 1320
192kg * 15.000 ---&gt; Rp. 2.884.780</t>
  </si>
  <si>
    <t>3. PRODUCTIVITY STAMPING SHIFT 1</t>
  </si>
  <si>
    <t>LINE</t>
  </si>
  <si>
    <t>ACTUAL OK</t>
  </si>
  <si>
    <t>FACTOR</t>
  </si>
  <si>
    <t>PROBLEM</t>
  </si>
  <si>
    <t>PENYEBAB</t>
  </si>
  <si>
    <t>Counter Measure</t>
  </si>
  <si>
    <t>DT (MENIT)</t>
  </si>
  <si>
    <t>RC-2764</t>
  </si>
  <si>
    <t>Prod</t>
  </si>
  <si>
    <t>Scrap tidak turun di proses blank</t>
  </si>
  <si>
    <t>Scrap mentok ke stopper sensor</t>
  </si>
  <si>
    <t>Adjust sensor judge variasi (next improve posisi sensor)</t>
  </si>
  <si>
    <t>IB-067</t>
  </si>
  <si>
    <t>Machine</t>
  </si>
  <si>
    <t>Push button tdk bisa dioperasikan</t>
  </si>
  <si>
    <t>Masih dalam tahap study team PS</t>
  </si>
  <si>
    <t>Proses memakai inching (monitor proses by GL)</t>
  </si>
  <si>
    <t>AES-028</t>
  </si>
  <si>
    <t>Dies</t>
  </si>
  <si>
    <t>Hasil Proses OP 10 Part Gelombang</t>
  </si>
  <si>
    <t>Tarikan bide tidak konstan</t>
  </si>
  <si>
    <t>Tunning Dies</t>
  </si>
  <si>
    <t xml:space="preserve">G-031 </t>
  </si>
  <si>
    <t>Hasil proses OP 10 Part Gelombang</t>
  </si>
  <si>
    <t xml:space="preserve">IB-067 </t>
  </si>
  <si>
    <t>Mesin 1500 TOn Balancer Drop</t>
  </si>
  <si>
    <t xml:space="preserve">RCS-017 </t>
  </si>
  <si>
    <t xml:space="preserve">Hasil proses draw neck </t>
  </si>
  <si>
    <t>Surface dies kasar</t>
  </si>
  <si>
    <t>Polyshing surface dies judge OK</t>
  </si>
  <si>
    <t>Item tidak tercapai</t>
  </si>
  <si>
    <t xml:space="preserve">1. RCS-017 </t>
  </si>
  <si>
    <t>2. IB-067</t>
  </si>
  <si>
    <t>TOTAL DOWNTIME</t>
  </si>
  <si>
    <t xml:space="preserve">ACTUAL </t>
  </si>
  <si>
    <t>PB-034</t>
  </si>
  <si>
    <t>Appearance neck</t>
  </si>
  <si>
    <t>Radius dies kasar</t>
  </si>
  <si>
    <t>PB-070</t>
  </si>
  <si>
    <t>Appearance OP 10 Neck</t>
  </si>
  <si>
    <t>1. PH-031 GU B1-B3</t>
  </si>
  <si>
    <t>Adanya Henkaten PIC Mesin B1 (Proses Utamakan Safety)</t>
  </si>
  <si>
    <t>2. NX-2928 BLK B4</t>
  </si>
  <si>
    <t>3. GT-5154 FNS B1</t>
  </si>
  <si>
    <t>GT 2514</t>
  </si>
  <si>
    <t>Mach</t>
  </si>
  <si>
    <t>Servo machine C4 mati (berulang kali)</t>
  </si>
  <si>
    <t>Masih dalam tahap study team Ps</t>
  </si>
  <si>
    <t>Re start mesin judge OK</t>
  </si>
  <si>
    <t>AAS-050</t>
  </si>
  <si>
    <t>Mesin D3 oil mluber</t>
  </si>
  <si>
    <t>Masih dalam study team PS</t>
  </si>
  <si>
    <t xml:space="preserve">Adjust pump oil </t>
  </si>
  <si>
    <t>NX-4143</t>
  </si>
  <si>
    <t>Mesin D3 MB left macet</t>
  </si>
  <si>
    <t>adjust sensor MB judge OK</t>
  </si>
  <si>
    <t>RC-2770</t>
  </si>
  <si>
    <t>Proses tidak sesuai TPT</t>
  </si>
  <si>
    <t>Handling manual area sempit</t>
  </si>
  <si>
    <t>Proses sesuai prosedur dan mengutamakan safety</t>
  </si>
  <si>
    <t>Meisn D3 overload</t>
  </si>
  <si>
    <t>re start mesin judge OK</t>
  </si>
  <si>
    <t>1. RC-2764 FNS</t>
  </si>
  <si>
    <t>2. RC-2770 FNS</t>
  </si>
  <si>
    <t>4. PRODUCTIVITY STAMPING SHIFT 2</t>
  </si>
  <si>
    <t>Mesin A1</t>
  </si>
  <si>
    <t>Clamper mesin A1 front no 2 tidak maksimal/macet</t>
  </si>
  <si>
    <t>Roda clamper A1 nomor 2 rusak/macet</t>
  </si>
  <si>
    <t>Temporary clamper dilepas, proses menggunakan t-slot manual</t>
  </si>
  <si>
    <t>AAS-054 BLK</t>
  </si>
  <si>
    <t>Proses Manual di A1</t>
  </si>
  <si>
    <t>K-1014</t>
  </si>
  <si>
    <t>RECOVERY ITEM SHIFT 1 2 ITEM</t>
  </si>
  <si>
    <t>T-4023</t>
  </si>
  <si>
    <t>XP-0078</t>
  </si>
  <si>
    <t>GT-5051/6/7</t>
  </si>
  <si>
    <t>RCS-011</t>
  </si>
  <si>
    <t>G-017</t>
  </si>
  <si>
    <t>Hasil proses OP10 part gomikami</t>
  </si>
  <si>
    <t>Surface lower dies kotor</t>
  </si>
  <si>
    <t>Cleaning surface lower dies</t>
  </si>
  <si>
    <t>Microskop</t>
  </si>
  <si>
    <t>PH-031GU</t>
  </si>
  <si>
    <t>Hasil proses OP10 part minus</t>
  </si>
  <si>
    <t>Stoper geser/aus</t>
  </si>
  <si>
    <t>Adjust stoper</t>
  </si>
  <si>
    <t>IB-036</t>
  </si>
  <si>
    <t>Hasil proses OP10 part neck</t>
  </si>
  <si>
    <t xml:space="preserve">Adjust shim balancer, adjust angin cushion &amp; part diberi oli per pcs </t>
  </si>
  <si>
    <t>IB-054 (4mesin) B1-B4</t>
  </si>
  <si>
    <t>RECOVERY ITEM SHIFT 1 4 ITEM</t>
  </si>
  <si>
    <t>AAS-057 (4mesin) B1-B4</t>
  </si>
  <si>
    <t>AE-0091 (3Mesin) B1-B3</t>
  </si>
  <si>
    <t>AES-039/42 (1 MESIN) B4</t>
  </si>
  <si>
    <t>GT-5154 (1 MESIN) B4</t>
  </si>
  <si>
    <t>IB-016</t>
  </si>
  <si>
    <t>Trial</t>
  </si>
  <si>
    <t>Additional time pengecekan akurasi by CF</t>
  </si>
  <si>
    <t>Alih proses mesin D1 ke D4 (perbaikan mesin)</t>
  </si>
  <si>
    <t>Tunggu hasil cek akurasi</t>
  </si>
  <si>
    <t>AAS-054</t>
  </si>
  <si>
    <t>5. PENCAPAIAN SUB-ASSY</t>
  </si>
  <si>
    <t xml:space="preserve">LINE </t>
  </si>
  <si>
    <t>HIGHLIGHT  ISSUE</t>
  </si>
  <si>
    <t>D/T</t>
  </si>
  <si>
    <t>SHIFT 1</t>
  </si>
  <si>
    <t>SHIFT 2</t>
  </si>
  <si>
    <t>TOTAL</t>
  </si>
  <si>
    <t xml:space="preserve">Cycle time assy untuk line manual --&gt; TSKK dari line manual </t>
  </si>
  <si>
    <t>LINE 1</t>
  </si>
  <si>
    <t>LINE 2</t>
  </si>
  <si>
    <r>
      <rPr>
        <b/>
        <sz val="12"/>
        <color rgb="FF000000"/>
        <rFont val="Calibri"/>
      </rPr>
      <t xml:space="preserve">SHIFT 1. </t>
    </r>
    <r>
      <rPr>
        <sz val="12"/>
        <color rgb="FF000000"/>
        <rFont val="Calibri"/>
      </rPr>
      <t>IBA-004 SINGLE PART IB-037 T/A=&gt; B.LINE PLAN 48 ACT 0</t>
    </r>
  </si>
  <si>
    <t>LINE 3</t>
  </si>
  <si>
    <t>LINE 4</t>
  </si>
  <si>
    <r>
      <rPr>
        <b/>
        <sz val="12"/>
        <color rgb="FF000000"/>
        <rFont val="Calibri"/>
      </rPr>
      <t xml:space="preserve">SHIFT 2. </t>
    </r>
    <r>
      <rPr>
        <sz val="12"/>
        <color rgb="FF000000"/>
        <rFont val="Calibri"/>
      </rPr>
      <t>PVA-001B SINGLE PART PVS-01 T/A =&gt; B LINE PLAN 96 ACT 0</t>
    </r>
  </si>
  <si>
    <t>LINE 5</t>
  </si>
  <si>
    <r>
      <rPr>
        <b/>
        <sz val="12"/>
        <color rgb="FF000000"/>
        <rFont val="Calibri"/>
      </rPr>
      <t xml:space="preserve">SHIFT 1. </t>
    </r>
    <r>
      <rPr>
        <sz val="12"/>
        <color rgb="FF000000"/>
        <rFont val="Calibri"/>
      </rPr>
      <t xml:space="preserve">IBS-022 SINGLE PART IB-054 T/A=&gt; B.LINE PLAN 96 ACT 0, IBA-016 SINGLE PART IB-098 T/A=&gt; B.LINE PLAN 24 ACT 0, IBA-017 SINGLE PART IB-099 T/A=&gt; B.LINE PLAN 24 ACT 0, </t>
    </r>
    <r>
      <rPr>
        <b/>
        <sz val="12"/>
        <color rgb="FF000000"/>
        <rFont val="Calibri"/>
      </rPr>
      <t xml:space="preserve">SHIFT 2. </t>
    </r>
    <r>
      <rPr>
        <sz val="12"/>
        <color rgb="FF000000"/>
        <rFont val="Calibri"/>
      </rPr>
      <t>IBA-016 SINGLE PART IB-098 T/A =&gt; B LINE PLAN 96 ACT 0, IBA-017 SINGLE PART IB-099 T/A =&gt; B LINE PLAN 96 ACT 0</t>
    </r>
  </si>
  <si>
    <t>LINE 6</t>
  </si>
  <si>
    <t>LINE 7</t>
  </si>
  <si>
    <t>LINE 8</t>
  </si>
  <si>
    <t>LINE 9</t>
  </si>
  <si>
    <t>LINE 10</t>
  </si>
  <si>
    <r>
      <rPr>
        <b/>
        <sz val="12"/>
        <color rgb="FF000000"/>
        <rFont val="Calibri"/>
      </rPr>
      <t xml:space="preserve">SHIFT 2. </t>
    </r>
    <r>
      <rPr>
        <sz val="12"/>
        <color rgb="FF000000"/>
        <rFont val="Calibri"/>
      </rPr>
      <t>GT-5930 SINGLE PART G-31 TA TELAT =&gt; B LINE PLAN 100 ACT 80</t>
    </r>
  </si>
  <si>
    <t>LINE 12</t>
  </si>
  <si>
    <t>LINE 13</t>
  </si>
  <si>
    <r>
      <rPr>
        <b/>
        <sz val="12"/>
        <color rgb="FF000000"/>
        <rFont val="Calibri"/>
      </rPr>
      <t xml:space="preserve">SHIFT 2. </t>
    </r>
    <r>
      <rPr>
        <sz val="12"/>
        <color rgb="FF000000"/>
        <rFont val="Calibri"/>
      </rPr>
      <t>AA-3310 SINGLE PART XP-074 T/A =&gt; B LINE PLAN 40 ACT 0</t>
    </r>
  </si>
  <si>
    <t>LINE 14</t>
  </si>
  <si>
    <t xml:space="preserve"> </t>
  </si>
  <si>
    <t>LAS CO</t>
  </si>
  <si>
    <t>TOTAL DIFF</t>
  </si>
  <si>
    <t>SPOT / MAN HOURS</t>
  </si>
  <si>
    <t>ROBOT SPOT</t>
  </si>
  <si>
    <t>MANUAL</t>
  </si>
  <si>
    <t>lAS CO</t>
  </si>
  <si>
    <t>DELIVERY</t>
  </si>
  <si>
    <t>On Time Delivery Reguler</t>
  </si>
  <si>
    <t>CUSTOMERS</t>
  </si>
  <si>
    <t>ITEM DELAY</t>
  </si>
  <si>
    <t>POTENTIAL DELAY</t>
  </si>
  <si>
    <t>REMARKS</t>
  </si>
  <si>
    <t>ADM KAP 1</t>
  </si>
  <si>
    <t>RC-1718 (15) C3 ETD 11.30</t>
  </si>
  <si>
    <t>proses assy 8.40</t>
  </si>
  <si>
    <t>APK</t>
  </si>
  <si>
    <t>ADM KAP 2</t>
  </si>
  <si>
    <t>ADM P1</t>
  </si>
  <si>
    <t>K-1119 (200) C1-C2</t>
  </si>
  <si>
    <t>proses awal shift</t>
  </si>
  <si>
    <t>ADM P4 [W/H WELDING]</t>
  </si>
  <si>
    <t>ADM P4 [W/H ASPIRA]</t>
  </si>
  <si>
    <t>GT-1487 (60) C3 ETD 08.30
GT-2413 (60) C5 ETD 11.45</t>
  </si>
  <si>
    <t>1487 proses 7.40
2413 proses 8.51</t>
  </si>
  <si>
    <t>IAMI BODY</t>
  </si>
  <si>
    <t>AH-056 (402)
PVA-005F (93)
IBS-001 (36)
IBA-005 (36)
IBA-007 (26)
IBA-009 (24)
IBA-004 (60)</t>
  </si>
  <si>
    <t>AH-056, PVA-005F partial dlv. CGS
IBS proses MF
IBA proses assy</t>
  </si>
  <si>
    <t>GKD</t>
  </si>
  <si>
    <t>PH-144/5 (144/144)
PH-027N (384)
AH-021N/22N (281/302)
PH-031GU (562)</t>
  </si>
  <si>
    <t>PH-144/145 (OHKUMA) -&gt; partial delivery vendor
AH-021N/22N (CGS) -&gt; partial proses, delivery
 PH-031GU partial proses B Line</t>
  </si>
  <si>
    <t>FTI</t>
  </si>
  <si>
    <t>MAJ</t>
  </si>
  <si>
    <t>On Time Delivery Sparepart</t>
  </si>
  <si>
    <t>LATEST DUE DATE</t>
  </si>
  <si>
    <t>Due date proses</t>
  </si>
  <si>
    <t>ORDER (PCS)</t>
  </si>
  <si>
    <t>DLV (PCS)</t>
  </si>
  <si>
    <t>Diff (PCS)</t>
  </si>
  <si>
    <t>TAM</t>
  </si>
  <si>
    <t>Proses prepare to EDP</t>
  </si>
  <si>
    <t>TMMIN SPD</t>
  </si>
  <si>
    <t>TMMIN SPEX</t>
  </si>
  <si>
    <t>CLOSE</t>
  </si>
  <si>
    <t>ADM SPD</t>
  </si>
  <si>
    <t>ADM P4</t>
  </si>
  <si>
    <t>Proses order RM ADM,partial stamping,MF</t>
  </si>
  <si>
    <t>ADM DCWA</t>
  </si>
  <si>
    <t>PAMA</t>
  </si>
  <si>
    <t>Delay PO Tgl.05-Agustus qty 2857 pcs
1164 pcs Proses fullhard hasil NG, part di kembalikan ke KWS Tgl.13-Agst, plan OK 20-Agst</t>
  </si>
  <si>
    <t>-</t>
  </si>
  <si>
    <t>IAMI FRAME</t>
  </si>
  <si>
    <t>ASI 1</t>
  </si>
  <si>
    <t>ASI 2</t>
  </si>
  <si>
    <t>INCOMING VENDOR</t>
  </si>
  <si>
    <t xml:space="preserve">TARGET </t>
  </si>
  <si>
    <t xml:space="preserve">V. PART REGULER </t>
  </si>
  <si>
    <t>Supplier</t>
  </si>
  <si>
    <t>Job No</t>
  </si>
  <si>
    <t>Qty Minus</t>
  </si>
  <si>
    <t>Stock single</t>
  </si>
  <si>
    <t>PCS/DAY</t>
  </si>
  <si>
    <t>STRENGTH STOCK</t>
  </si>
  <si>
    <t>C/M</t>
  </si>
  <si>
    <t>CGS</t>
  </si>
  <si>
    <t>AH-056</t>
  </si>
  <si>
    <t>Partial proses</t>
  </si>
  <si>
    <t>recovery proses, delivery hari ini</t>
  </si>
  <si>
    <t>PVA-005F</t>
  </si>
  <si>
    <t>AH-022N</t>
  </si>
  <si>
    <t>AH-021N</t>
  </si>
  <si>
    <t>IKAR</t>
  </si>
  <si>
    <t>AES-014</t>
  </si>
  <si>
    <t>Antri proses</t>
  </si>
  <si>
    <t>Partial delivery based on level stock</t>
  </si>
  <si>
    <t>AES-015</t>
  </si>
  <si>
    <t>XP-0074</t>
  </si>
  <si>
    <t>V. BELI PUTUS</t>
  </si>
  <si>
    <t>Line Proses</t>
  </si>
  <si>
    <t>Stock</t>
  </si>
  <si>
    <t>Keb.Prod/Dlv</t>
  </si>
  <si>
    <t>Strength stock</t>
  </si>
  <si>
    <t>Problem</t>
  </si>
  <si>
    <t>Press Line B</t>
  </si>
  <si>
    <t>AES-048</t>
  </si>
  <si>
    <t>AES-011</t>
  </si>
  <si>
    <t>Press Line D</t>
  </si>
  <si>
    <t>AES-012</t>
  </si>
  <si>
    <t>RCS-010</t>
  </si>
  <si>
    <t>AAS-006</t>
  </si>
  <si>
    <t>Press Line A</t>
  </si>
  <si>
    <t>K-4045</t>
  </si>
  <si>
    <t>AES-017</t>
  </si>
  <si>
    <t>PVS-001</t>
  </si>
  <si>
    <t>PVS-002</t>
  </si>
  <si>
    <t>PVS-003</t>
  </si>
  <si>
    <t>PVS-004</t>
  </si>
  <si>
    <t>PB-016</t>
  </si>
  <si>
    <t>PB-016N</t>
  </si>
  <si>
    <t>PB-026</t>
  </si>
  <si>
    <t>G-015</t>
  </si>
  <si>
    <t>IB-068</t>
  </si>
  <si>
    <t xml:space="preserve">Plan </t>
  </si>
  <si>
    <t>Act</t>
  </si>
  <si>
    <t>Diff</t>
  </si>
  <si>
    <t>Remarks</t>
  </si>
  <si>
    <t>INCOMING MATERIAL</t>
  </si>
  <si>
    <t>IJPC</t>
  </si>
  <si>
    <t>Proses DS OK</t>
  </si>
  <si>
    <t>USC</t>
  </si>
  <si>
    <t>SCI</t>
  </si>
  <si>
    <t>TTMI</t>
  </si>
  <si>
    <t>SSK</t>
  </si>
  <si>
    <t xml:space="preserve">SSK (ADM) </t>
  </si>
  <si>
    <t>Production Plan - SH 2</t>
  </si>
  <si>
    <t>GSPH target</t>
  </si>
  <si>
    <t>GSPH Plan</t>
  </si>
  <si>
    <t>PLAN GLC</t>
  </si>
  <si>
    <t>PLAN TPT</t>
  </si>
  <si>
    <t>CAP REG</t>
  </si>
  <si>
    <t>DIFF (OT-min)</t>
  </si>
  <si>
    <t>METAL FINISH</t>
  </si>
  <si>
    <t>SUB ASSY (11 Line)</t>
  </si>
  <si>
    <t>Production Plan - SH 1</t>
  </si>
  <si>
    <t>Shearing YSD</t>
  </si>
  <si>
    <t>Shearing LVD</t>
  </si>
  <si>
    <t>CYCLE</t>
  </si>
  <si>
    <t>ASPIRA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</si>
</sst>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Rp&quot;#,##0;[Red]\-&quot;Rp&quot;#,##0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0.0"/>
    <numFmt numFmtId="165" formatCode="0.0%"/>
    <numFmt numFmtId="166" formatCode="[$-F800]dddd\,\ mmmm\ dd\,\ yyyy"/>
    <numFmt numFmtId="167" formatCode="#,##0.0"/>
  </numFmts>
  <fonts count="4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rgb="FF0000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000000"/>
      <name val="Calibri"/>
      <scheme val="minor"/>
    </font>
    <font>
      <b/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000000"/>
      <name val="Calibri"/>
      <charset val="1"/>
    </font>
    <font>
      <sz val="18"/>
      <color rgb="FF000000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6"/>
      <color rgb="FF00B050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6"/>
      <color rgb="FF000000"/>
      <name val="Times New Roman"/>
      <family val="1"/>
    </font>
    <font>
      <sz val="14"/>
      <name val="Century Gothic"/>
    </font>
    <font>
      <u/>
      <sz val="11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0000"/>
      <name val="Calibri"/>
    </font>
    <font>
      <sz val="14"/>
      <color rgb="FF000000"/>
      <name val="Calibri"/>
    </font>
    <font>
      <sz val="14"/>
      <color rgb="FF000000"/>
      <name val="Calibri"/>
      <family val="2"/>
    </font>
    <font>
      <sz val="12"/>
      <color rgb="FF000000"/>
      <name val="Calibri"/>
    </font>
    <font>
      <b/>
      <sz val="14"/>
      <color rgb="FF000000"/>
      <name val="Calibri"/>
    </font>
    <font>
      <b/>
      <sz val="14"/>
      <color rgb="FF000000"/>
      <name val="Calibri"/>
      <family val="2"/>
      <scheme val="minor"/>
    </font>
    <font>
      <sz val="14"/>
      <color rgb="FF000000"/>
      <name val="Calibri"/>
      <charset val="1"/>
    </font>
    <font>
      <b/>
      <sz val="12"/>
      <color rgb="FF000000"/>
      <name val="Calibri"/>
    </font>
    <font>
      <sz val="18"/>
      <color rgb="FF000000"/>
      <name val="Calibri"/>
    </font>
    <font>
      <b/>
      <sz val="12"/>
      <color rgb="FF000000"/>
      <name val="Calibri"/>
      <scheme val="minor"/>
    </font>
    <font>
      <b/>
      <sz val="16"/>
      <color rgb="FF000000"/>
      <name val="Calibri"/>
      <family val="2"/>
      <scheme val="minor"/>
    </font>
    <font>
      <sz val="16"/>
      <color rgb="FF000000"/>
      <name val="Calibri"/>
    </font>
    <font>
      <b/>
      <sz val="12"/>
      <color rgb="FF000000"/>
      <name val="Calibri"/>
      <family val="2"/>
    </font>
    <font>
      <sz val="16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8"/>
      <color rgb="FF000000"/>
      <name val="Calibri"/>
      <scheme val="minor"/>
    </font>
    <font>
      <sz val="16"/>
      <color rgb="FF000000"/>
      <name val="Calibri"/>
      <scheme val="minor"/>
    </font>
    <font>
      <b/>
      <sz val="12"/>
      <color rgb="FF000000"/>
      <name val="Calibri"/>
      <charset val="1"/>
    </font>
    <font>
      <sz val="11"/>
      <color rgb="FF000000"/>
      <name val="Consolas"/>
      <charset val="1"/>
    </font>
    <font>
      <sz val="16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33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42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vertical="center"/>
    </xf>
    <xf numFmtId="0" fontId="4" fillId="3" borderId="5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7" fillId="0" borderId="6" xfId="0" applyFont="1" applyBorder="1" applyAlignment="1" applyProtection="1">
      <alignment horizontal="center" vertical="center"/>
      <protection locked="0"/>
    </xf>
    <xf numFmtId="0" fontId="3" fillId="0" borderId="0" xfId="0" applyFont="1" applyAlignment="1">
      <alignment vertical="center"/>
    </xf>
    <xf numFmtId="0" fontId="2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0" fontId="9" fillId="0" borderId="16" xfId="0" applyNumberFormat="1" applyFont="1" applyBorder="1" applyAlignment="1">
      <alignment horizontal="center" vertical="center"/>
    </xf>
    <xf numFmtId="6" fontId="4" fillId="0" borderId="6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14" fontId="1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quotePrefix="1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14" fontId="2" fillId="0" borderId="0" xfId="0" quotePrefix="1" applyNumberFormat="1" applyFont="1" applyAlignment="1">
      <alignment horizontal="center" vertical="center" wrapText="1"/>
    </xf>
    <xf numFmtId="20" fontId="6" fillId="0" borderId="0" xfId="0" quotePrefix="1" applyNumberFormat="1" applyFont="1" applyAlignment="1">
      <alignment horizontal="center" vertical="center" wrapText="1"/>
    </xf>
    <xf numFmtId="16" fontId="2" fillId="0" borderId="0" xfId="0" applyNumberFormat="1" applyFont="1" applyAlignment="1">
      <alignment vertical="center"/>
    </xf>
    <xf numFmtId="0" fontId="13" fillId="0" borderId="12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6" xfId="0" applyFont="1" applyBorder="1" applyAlignment="1">
      <alignment vertical="center"/>
    </xf>
    <xf numFmtId="9" fontId="14" fillId="0" borderId="16" xfId="0" applyNumberFormat="1" applyFont="1" applyBorder="1" applyAlignment="1">
      <alignment horizontal="center" vertical="center"/>
    </xf>
    <xf numFmtId="0" fontId="13" fillId="0" borderId="16" xfId="0" applyFont="1" applyBorder="1" applyAlignment="1">
      <alignment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5" xfId="0" applyFont="1" applyBorder="1" applyAlignment="1">
      <alignment vertical="center"/>
    </xf>
    <xf numFmtId="9" fontId="14" fillId="0" borderId="2" xfId="0" applyNumberFormat="1" applyFont="1" applyBorder="1" applyAlignment="1">
      <alignment horizontal="center" vertical="center"/>
    </xf>
    <xf numFmtId="9" fontId="14" fillId="0" borderId="5" xfId="0" applyNumberFormat="1" applyFont="1" applyBorder="1" applyAlignment="1">
      <alignment horizontal="center" vertical="center"/>
    </xf>
    <xf numFmtId="14" fontId="17" fillId="0" borderId="6" xfId="0" applyNumberFormat="1" applyFont="1" applyBorder="1" applyAlignment="1">
      <alignment horizontal="center" vertical="center"/>
    </xf>
    <xf numFmtId="1" fontId="17" fillId="0" borderId="16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vertical="center"/>
    </xf>
    <xf numFmtId="1" fontId="17" fillId="0" borderId="6" xfId="0" applyNumberFormat="1" applyFont="1" applyBorder="1" applyAlignment="1">
      <alignment horizontal="center" vertical="center"/>
    </xf>
    <xf numFmtId="0" fontId="13" fillId="0" borderId="12" xfId="0" applyFont="1" applyBorder="1" applyAlignment="1">
      <alignment vertical="center"/>
    </xf>
    <xf numFmtId="0" fontId="13" fillId="0" borderId="16" xfId="0" applyFont="1" applyBorder="1" applyAlignment="1">
      <alignment horizontal="left" vertical="center"/>
    </xf>
    <xf numFmtId="0" fontId="13" fillId="0" borderId="11" xfId="0" applyFont="1" applyBorder="1" applyAlignment="1">
      <alignment vertical="center"/>
    </xf>
    <xf numFmtId="14" fontId="17" fillId="0" borderId="6" xfId="0" applyNumberFormat="1" applyFont="1" applyBorder="1" applyAlignment="1">
      <alignment horizontal="center"/>
    </xf>
    <xf numFmtId="14" fontId="9" fillId="0" borderId="6" xfId="0" applyNumberFormat="1" applyFont="1" applyBorder="1" applyAlignment="1">
      <alignment horizontal="center"/>
    </xf>
    <xf numFmtId="0" fontId="13" fillId="0" borderId="0" xfId="0" applyFont="1" applyAlignment="1">
      <alignment vertical="center"/>
    </xf>
    <xf numFmtId="9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3" fillId="0" borderId="18" xfId="0" applyFont="1" applyBorder="1" applyAlignment="1">
      <alignment horizontal="center" vertical="center"/>
    </xf>
    <xf numFmtId="9" fontId="13" fillId="0" borderId="19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20" fillId="6" borderId="23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vertical="center"/>
    </xf>
    <xf numFmtId="0" fontId="14" fillId="0" borderId="16" xfId="0" applyFont="1" applyBorder="1" applyAlignment="1">
      <alignment horizontal="center" vertical="top" wrapText="1"/>
    </xf>
    <xf numFmtId="0" fontId="14" fillId="0" borderId="6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top" wrapText="1"/>
    </xf>
    <xf numFmtId="164" fontId="14" fillId="0" borderId="0" xfId="0" applyNumberFormat="1" applyFont="1" applyAlignment="1">
      <alignment horizontal="center" vertical="top" wrapText="1"/>
    </xf>
    <xf numFmtId="0" fontId="11" fillId="0" borderId="0" xfId="0" applyFont="1" applyAlignment="1">
      <alignment vertical="center"/>
    </xf>
    <xf numFmtId="166" fontId="11" fillId="0" borderId="0" xfId="0" applyNumberFormat="1" applyFont="1" applyAlignment="1">
      <alignment vertical="center"/>
    </xf>
    <xf numFmtId="1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2" fontId="13" fillId="0" borderId="25" xfId="0" applyNumberFormat="1" applyFont="1" applyBorder="1" applyAlignment="1">
      <alignment horizontal="center" vertical="center"/>
    </xf>
    <xf numFmtId="2" fontId="13" fillId="0" borderId="16" xfId="0" applyNumberFormat="1" applyFont="1" applyBorder="1" applyAlignment="1">
      <alignment horizontal="center" vertical="center"/>
    </xf>
    <xf numFmtId="2" fontId="13" fillId="0" borderId="3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8" borderId="2" xfId="0" applyFont="1" applyFill="1" applyBorder="1" applyAlignment="1">
      <alignment horizontal="center" vertical="center" wrapText="1"/>
    </xf>
    <xf numFmtId="0" fontId="22" fillId="3" borderId="5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3" fillId="0" borderId="0" xfId="0" applyFont="1" applyAlignment="1">
      <alignment horizontal="left" vertical="top"/>
    </xf>
    <xf numFmtId="0" fontId="0" fillId="0" borderId="34" xfId="0" applyBorder="1"/>
    <xf numFmtId="0" fontId="0" fillId="0" borderId="35" xfId="0" applyBorder="1"/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14" fontId="2" fillId="0" borderId="35" xfId="0" quotePrefix="1" applyNumberFormat="1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23" fillId="0" borderId="0" xfId="1"/>
    <xf numFmtId="0" fontId="14" fillId="0" borderId="22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43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13" fillId="0" borderId="21" xfId="0" applyFont="1" applyBorder="1" applyAlignment="1">
      <alignment horizontal="left" vertical="center"/>
    </xf>
    <xf numFmtId="0" fontId="13" fillId="0" borderId="43" xfId="0" applyFont="1" applyBorder="1" applyAlignment="1">
      <alignment horizontal="left" vertical="center"/>
    </xf>
    <xf numFmtId="0" fontId="13" fillId="0" borderId="44" xfId="0" applyFont="1" applyBorder="1" applyAlignment="1">
      <alignment horizontal="left" vertical="center"/>
    </xf>
    <xf numFmtId="0" fontId="13" fillId="0" borderId="42" xfId="0" applyFont="1" applyBorder="1" applyAlignment="1">
      <alignment horizontal="left" vertical="center"/>
    </xf>
    <xf numFmtId="0" fontId="13" fillId="0" borderId="26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0" fontId="8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wrapText="1"/>
    </xf>
    <xf numFmtId="0" fontId="25" fillId="0" borderId="0" xfId="0" applyFont="1" applyAlignment="1">
      <alignment horizontal="left" vertical="center"/>
    </xf>
    <xf numFmtId="0" fontId="3" fillId="0" borderId="0" xfId="0" applyFont="1"/>
    <xf numFmtId="0" fontId="3" fillId="0" borderId="5" xfId="0" applyFont="1" applyBorder="1"/>
    <xf numFmtId="0" fontId="25" fillId="0" borderId="2" xfId="0" applyFont="1" applyBorder="1" applyAlignment="1">
      <alignment horizontal="center" vertical="center"/>
    </xf>
    <xf numFmtId="0" fontId="25" fillId="0" borderId="5" xfId="0" applyFont="1" applyBorder="1" applyAlignment="1">
      <alignment horizontal="left" vertical="center"/>
    </xf>
    <xf numFmtId="0" fontId="3" fillId="10" borderId="5" xfId="0" applyFont="1" applyFill="1" applyBorder="1" applyAlignment="1">
      <alignment horizontal="center" vertical="center"/>
    </xf>
    <xf numFmtId="0" fontId="26" fillId="0" borderId="0" xfId="0" applyFont="1"/>
    <xf numFmtId="3" fontId="25" fillId="0" borderId="33" xfId="0" applyNumberFormat="1" applyFont="1" applyBorder="1" applyAlignment="1">
      <alignment horizontal="center" vertical="center"/>
    </xf>
    <xf numFmtId="0" fontId="25" fillId="0" borderId="33" xfId="0" applyFont="1" applyBorder="1" applyAlignment="1">
      <alignment horizontal="center" vertical="center"/>
    </xf>
    <xf numFmtId="0" fontId="25" fillId="0" borderId="5" xfId="0" applyFont="1" applyBorder="1" applyAlignment="1">
      <alignment vertical="center"/>
    </xf>
    <xf numFmtId="3" fontId="3" fillId="0" borderId="2" xfId="0" applyNumberFormat="1" applyFont="1" applyBorder="1" applyAlignment="1">
      <alignment horizontal="center" vertical="center"/>
    </xf>
    <xf numFmtId="2" fontId="3" fillId="0" borderId="40" xfId="0" applyNumberFormat="1" applyFont="1" applyBorder="1" applyAlignment="1">
      <alignment horizontal="center" vertical="center"/>
    </xf>
    <xf numFmtId="0" fontId="3" fillId="0" borderId="41" xfId="0" applyFont="1" applyBorder="1" applyAlignment="1">
      <alignment horizontal="left" vertical="top"/>
    </xf>
    <xf numFmtId="2" fontId="3" fillId="0" borderId="2" xfId="0" applyNumberFormat="1" applyFont="1" applyBorder="1" applyAlignment="1">
      <alignment horizontal="center" vertical="center"/>
    </xf>
    <xf numFmtId="0" fontId="25" fillId="0" borderId="2" xfId="0" applyFont="1" applyBorder="1" applyAlignment="1">
      <alignment vertical="center"/>
    </xf>
    <xf numFmtId="0" fontId="3" fillId="0" borderId="40" xfId="0" applyFont="1" applyBorder="1" applyAlignment="1">
      <alignment horizontal="center" vertical="center"/>
    </xf>
    <xf numFmtId="0" fontId="25" fillId="0" borderId="12" xfId="0" applyFont="1" applyBorder="1" applyAlignment="1">
      <alignment vertical="center"/>
    </xf>
    <xf numFmtId="20" fontId="3" fillId="0" borderId="12" xfId="0" quotePrefix="1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3" fontId="25" fillId="0" borderId="17" xfId="0" applyNumberFormat="1" applyFont="1" applyBorder="1" applyAlignment="1">
      <alignment horizontal="center" vertical="center"/>
    </xf>
    <xf numFmtId="0" fontId="25" fillId="0" borderId="17" xfId="0" applyFont="1" applyBorder="1" applyAlignment="1">
      <alignment vertical="center"/>
    </xf>
    <xf numFmtId="2" fontId="3" fillId="0" borderId="17" xfId="0" applyNumberFormat="1" applyFont="1" applyBorder="1" applyAlignment="1">
      <alignment horizontal="center" vertical="center"/>
    </xf>
    <xf numFmtId="0" fontId="3" fillId="0" borderId="42" xfId="0" applyFont="1" applyBorder="1" applyAlignment="1">
      <alignment horizontal="left" vertical="top"/>
    </xf>
    <xf numFmtId="0" fontId="3" fillId="10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2" fillId="4" borderId="0" xfId="0" applyFont="1" applyFill="1" applyAlignment="1">
      <alignment vertical="center"/>
    </xf>
    <xf numFmtId="1" fontId="2" fillId="0" borderId="3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 wrapText="1"/>
    </xf>
    <xf numFmtId="1" fontId="2" fillId="8" borderId="2" xfId="0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/>
    </xf>
    <xf numFmtId="0" fontId="10" fillId="0" borderId="11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/>
    </xf>
    <xf numFmtId="3" fontId="2" fillId="0" borderId="2" xfId="0" applyNumberFormat="1" applyFont="1" applyBorder="1" applyAlignment="1">
      <alignment horizontal="center" vertical="center"/>
    </xf>
    <xf numFmtId="43" fontId="0" fillId="0" borderId="0" xfId="0" applyNumberFormat="1" applyAlignment="1">
      <alignment horizontal="center" vertical="center" wrapText="1"/>
    </xf>
    <xf numFmtId="0" fontId="13" fillId="0" borderId="48" xfId="0" applyFont="1" applyBorder="1" applyAlignment="1">
      <alignment horizontal="center" vertical="center" indent="1"/>
    </xf>
    <xf numFmtId="0" fontId="18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center" indent="1"/>
    </xf>
    <xf numFmtId="1" fontId="9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3" fillId="0" borderId="0" xfId="0" applyFont="1"/>
    <xf numFmtId="43" fontId="0" fillId="0" borderId="0" xfId="0" applyNumberFormat="1" applyAlignment="1">
      <alignment horizontal="center" vertical="center"/>
    </xf>
    <xf numFmtId="0" fontId="18" fillId="0" borderId="30" xfId="0" applyFont="1" applyBorder="1" applyAlignment="1">
      <alignment horizontal="center" vertical="center" wrapText="1"/>
    </xf>
    <xf numFmtId="167" fontId="14" fillId="0" borderId="16" xfId="0" applyNumberFormat="1" applyFont="1" applyBorder="1" applyAlignment="1">
      <alignment horizontal="center" vertical="center" wrapText="1"/>
    </xf>
    <xf numFmtId="1" fontId="17" fillId="0" borderId="44" xfId="0" applyNumberFormat="1" applyFont="1" applyBorder="1" applyAlignment="1">
      <alignment horizontal="center" vertical="center"/>
    </xf>
    <xf numFmtId="9" fontId="14" fillId="0" borderId="6" xfId="0" applyNumberFormat="1" applyFont="1" applyBorder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35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wrapText="1"/>
    </xf>
    <xf numFmtId="0" fontId="7" fillId="0" borderId="16" xfId="0" applyFont="1" applyBorder="1" applyAlignment="1" applyProtection="1">
      <alignment horizontal="center" vertical="center"/>
      <protection locked="0"/>
    </xf>
    <xf numFmtId="0" fontId="4" fillId="0" borderId="16" xfId="0" applyFont="1" applyBorder="1" applyAlignment="1">
      <alignment horizontal="left" vertical="center"/>
    </xf>
    <xf numFmtId="10" fontId="2" fillId="0" borderId="16" xfId="0" applyNumberFormat="1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wrapText="1"/>
    </xf>
    <xf numFmtId="0" fontId="2" fillId="0" borderId="38" xfId="0" applyFont="1" applyBorder="1" applyAlignment="1">
      <alignment horizontal="center" vertical="center"/>
    </xf>
    <xf numFmtId="0" fontId="9" fillId="10" borderId="12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6" xfId="0" applyFont="1" applyFill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left" vertical="center"/>
    </xf>
    <xf numFmtId="0" fontId="20" fillId="6" borderId="25" xfId="0" applyFont="1" applyFill="1" applyBorder="1" applyAlignment="1">
      <alignment horizontal="center" vertical="center" wrapText="1"/>
    </xf>
    <xf numFmtId="164" fontId="14" fillId="0" borderId="16" xfId="0" applyNumberFormat="1" applyFont="1" applyBorder="1" applyAlignment="1">
      <alignment horizontal="center" vertical="center" wrapText="1"/>
    </xf>
    <xf numFmtId="1" fontId="17" fillId="0" borderId="25" xfId="0" applyNumberFormat="1" applyFont="1" applyBorder="1" applyAlignment="1">
      <alignment horizontal="center" vertical="center"/>
    </xf>
    <xf numFmtId="1" fontId="17" fillId="0" borderId="17" xfId="0" applyNumberFormat="1" applyFont="1" applyBorder="1" applyAlignment="1">
      <alignment horizontal="center" vertical="center"/>
    </xf>
    <xf numFmtId="1" fontId="17" fillId="0" borderId="22" xfId="0" applyNumberFormat="1" applyFont="1" applyBorder="1" applyAlignment="1">
      <alignment horizontal="center" vertical="center"/>
    </xf>
    <xf numFmtId="0" fontId="37" fillId="0" borderId="2" xfId="0" applyFont="1" applyBorder="1" applyAlignment="1">
      <alignment horizontal="center" vertical="center"/>
    </xf>
    <xf numFmtId="0" fontId="37" fillId="0" borderId="11" xfId="0" applyFont="1" applyBorder="1" applyAlignment="1">
      <alignment horizontal="center" vertical="center"/>
    </xf>
    <xf numFmtId="166" fontId="11" fillId="0" borderId="42" xfId="0" applyNumberFormat="1" applyFont="1" applyBorder="1" applyAlignment="1">
      <alignment vertical="center"/>
    </xf>
    <xf numFmtId="2" fontId="13" fillId="0" borderId="26" xfId="0" applyNumberFormat="1" applyFont="1" applyBorder="1" applyAlignment="1">
      <alignment horizontal="center" vertical="center"/>
    </xf>
    <xf numFmtId="0" fontId="3" fillId="10" borderId="12" xfId="0" applyFont="1" applyFill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0" fillId="0" borderId="12" xfId="0" applyBorder="1" applyAlignment="1">
      <alignment vertical="center"/>
    </xf>
    <xf numFmtId="0" fontId="27" fillId="0" borderId="0" xfId="0" applyFont="1" applyAlignment="1">
      <alignment horizontal="center" vertical="center"/>
    </xf>
    <xf numFmtId="0" fontId="40" fillId="0" borderId="0" xfId="0" applyFont="1" applyAlignment="1">
      <alignment horizontal="left" wrapText="1"/>
    </xf>
    <xf numFmtId="0" fontId="41" fillId="0" borderId="0" xfId="0" applyFont="1"/>
    <xf numFmtId="0" fontId="42" fillId="0" borderId="0" xfId="0" applyFont="1" applyAlignment="1">
      <alignment horizontal="center" vertical="center" wrapText="1"/>
    </xf>
    <xf numFmtId="3" fontId="14" fillId="0" borderId="16" xfId="0" applyNumberFormat="1" applyFont="1" applyBorder="1" applyAlignment="1">
      <alignment horizontal="center" vertical="center" wrapText="1"/>
    </xf>
    <xf numFmtId="10" fontId="2" fillId="0" borderId="6" xfId="0" applyNumberFormat="1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/>
    </xf>
    <xf numFmtId="167" fontId="14" fillId="0" borderId="25" xfId="0" applyNumberFormat="1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167" fontId="14" fillId="0" borderId="0" xfId="0" applyNumberFormat="1" applyFont="1" applyAlignment="1">
      <alignment horizontal="center" vertical="center" wrapText="1"/>
    </xf>
    <xf numFmtId="0" fontId="20" fillId="6" borderId="43" xfId="0" applyFont="1" applyFill="1" applyBorder="1" applyAlignment="1">
      <alignment horizontal="center" vertical="center" wrapText="1"/>
    </xf>
    <xf numFmtId="167" fontId="14" fillId="0" borderId="45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 wrapText="1"/>
    </xf>
    <xf numFmtId="0" fontId="28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1" fillId="0" borderId="11" xfId="0" applyFont="1" applyBorder="1" applyAlignment="1">
      <alignment horizontal="left" vertical="center"/>
    </xf>
    <xf numFmtId="0" fontId="9" fillId="0" borderId="16" xfId="0" applyFont="1" applyBorder="1" applyAlignment="1">
      <alignment horizontal="center" vertical="center"/>
    </xf>
    <xf numFmtId="0" fontId="32" fillId="0" borderId="0" xfId="0" applyFont="1" applyAlignment="1">
      <alignment horizontal="left" vertical="top" wrapText="1"/>
    </xf>
    <xf numFmtId="0" fontId="36" fillId="0" borderId="0" xfId="0" applyFont="1" applyAlignment="1">
      <alignment horizontal="left" vertical="top" wrapText="1"/>
    </xf>
    <xf numFmtId="0" fontId="2" fillId="5" borderId="5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31" fillId="0" borderId="2" xfId="0" applyFont="1" applyBorder="1"/>
    <xf numFmtId="0" fontId="0" fillId="0" borderId="16" xfId="0" applyBorder="1" applyAlignment="1">
      <alignment horizontal="center" vertical="center"/>
    </xf>
    <xf numFmtId="0" fontId="43" fillId="7" borderId="16" xfId="0" applyFont="1" applyFill="1" applyBorder="1" applyAlignment="1">
      <alignment horizontal="center"/>
    </xf>
    <xf numFmtId="3" fontId="14" fillId="0" borderId="25" xfId="0" applyNumberFormat="1" applyFont="1" applyBorder="1" applyAlignment="1">
      <alignment horizontal="center" vertical="top" wrapText="1"/>
    </xf>
    <xf numFmtId="0" fontId="14" fillId="0" borderId="25" xfId="0" applyFont="1" applyBorder="1" applyAlignment="1">
      <alignment horizontal="center" vertical="top" wrapText="1"/>
    </xf>
    <xf numFmtId="44" fontId="4" fillId="0" borderId="6" xfId="0" applyNumberFormat="1" applyFont="1" applyBorder="1" applyAlignment="1">
      <alignment horizontal="center" vertical="center" wrapText="1"/>
    </xf>
    <xf numFmtId="3" fontId="0" fillId="0" borderId="0" xfId="0" applyNumberFormat="1"/>
    <xf numFmtId="0" fontId="46" fillId="0" borderId="0" xfId="0" applyFont="1"/>
    <xf numFmtId="43" fontId="45" fillId="0" borderId="0" xfId="0" applyNumberFormat="1" applyFont="1"/>
    <xf numFmtId="0" fontId="2" fillId="3" borderId="16" xfId="0" applyFont="1" applyFill="1" applyBorder="1" applyAlignment="1">
      <alignment horizontal="left" vertical="center"/>
    </xf>
    <xf numFmtId="0" fontId="38" fillId="0" borderId="11" xfId="0" applyFont="1" applyBorder="1" applyAlignment="1">
      <alignment horizontal="center" vertical="center"/>
    </xf>
    <xf numFmtId="164" fontId="14" fillId="0" borderId="16" xfId="0" applyNumberFormat="1" applyFont="1" applyBorder="1" applyAlignment="1">
      <alignment horizontal="left" vertical="top" wrapText="1"/>
    </xf>
    <xf numFmtId="164" fontId="14" fillId="0" borderId="6" xfId="0" applyNumberFormat="1" applyFont="1" applyBorder="1" applyAlignment="1">
      <alignment horizontal="left" vertical="top" wrapText="1"/>
    </xf>
    <xf numFmtId="0" fontId="35" fillId="0" borderId="16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/>
    </xf>
    <xf numFmtId="0" fontId="0" fillId="9" borderId="6" xfId="0" applyFill="1" applyBorder="1" applyAlignment="1">
      <alignment horizontal="center"/>
    </xf>
    <xf numFmtId="0" fontId="0" fillId="9" borderId="31" xfId="0" applyFill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0" fillId="9" borderId="27" xfId="0" applyFill="1" applyBorder="1" applyAlignment="1">
      <alignment horizontal="center"/>
    </xf>
    <xf numFmtId="0" fontId="0" fillId="9" borderId="30" xfId="0" applyFill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6" fillId="0" borderId="0" xfId="0" quotePrefix="1" applyFont="1" applyAlignment="1">
      <alignment horizontal="center" vertical="center" wrapText="1"/>
    </xf>
    <xf numFmtId="0" fontId="20" fillId="6" borderId="17" xfId="0" applyFont="1" applyFill="1" applyBorder="1" applyAlignment="1">
      <alignment horizontal="center" vertical="center" wrapText="1"/>
    </xf>
    <xf numFmtId="167" fontId="14" fillId="0" borderId="16" xfId="0" applyNumberFormat="1" applyFont="1" applyBorder="1" applyAlignment="1">
      <alignment horizontal="center" vertical="center" wrapText="1"/>
    </xf>
    <xf numFmtId="0" fontId="14" fillId="0" borderId="45" xfId="0" applyFont="1" applyBorder="1" applyAlignment="1">
      <alignment horizontal="center" vertical="center" wrapText="1"/>
    </xf>
    <xf numFmtId="0" fontId="16" fillId="0" borderId="45" xfId="0" applyFont="1" applyBorder="1" applyAlignment="1">
      <alignment horizontal="center" vertical="center" wrapText="1"/>
    </xf>
    <xf numFmtId="0" fontId="15" fillId="0" borderId="45" xfId="0" applyFont="1" applyBorder="1" applyAlignment="1">
      <alignment horizontal="center" vertical="center" wrapText="1"/>
    </xf>
    <xf numFmtId="0" fontId="14" fillId="0" borderId="4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0" fontId="35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9" fillId="0" borderId="16" xfId="0" quotePrefix="1" applyFont="1" applyBorder="1" applyAlignment="1">
      <alignment horizontal="left" vertical="center" wrapText="1"/>
    </xf>
    <xf numFmtId="0" fontId="18" fillId="0" borderId="16" xfId="0" quotePrefix="1" applyFont="1" applyBorder="1" applyAlignment="1">
      <alignment horizontal="left" vertical="center" wrapText="1"/>
    </xf>
    <xf numFmtId="0" fontId="13" fillId="0" borderId="16" xfId="0" applyFont="1" applyBorder="1" applyAlignment="1">
      <alignment horizontal="left" vertical="center"/>
    </xf>
    <xf numFmtId="9" fontId="14" fillId="0" borderId="16" xfId="0" applyNumberFormat="1" applyFont="1" applyBorder="1" applyAlignment="1">
      <alignment horizontal="center" vertical="center"/>
    </xf>
    <xf numFmtId="165" fontId="2" fillId="0" borderId="16" xfId="0" applyNumberFormat="1" applyFont="1" applyBorder="1" applyAlignment="1">
      <alignment horizontal="center" vertical="center" wrapText="1"/>
    </xf>
    <xf numFmtId="10" fontId="2" fillId="0" borderId="16" xfId="0" applyNumberFormat="1" applyFont="1" applyBorder="1" applyAlignment="1">
      <alignment horizontal="center" vertical="center" wrapText="1"/>
    </xf>
    <xf numFmtId="0" fontId="13" fillId="0" borderId="17" xfId="0" applyFont="1" applyBorder="1" applyAlignment="1">
      <alignment horizontal="left" vertical="center"/>
    </xf>
    <xf numFmtId="9" fontId="14" fillId="0" borderId="17" xfId="0" applyNumberFormat="1" applyFont="1" applyBorder="1" applyAlignment="1">
      <alignment horizontal="center" vertical="center"/>
    </xf>
    <xf numFmtId="10" fontId="2" fillId="0" borderId="17" xfId="0" applyNumberFormat="1" applyFont="1" applyBorder="1" applyAlignment="1">
      <alignment horizontal="center" vertical="center" wrapText="1"/>
    </xf>
    <xf numFmtId="10" fontId="2" fillId="0" borderId="24" xfId="0" applyNumberFormat="1" applyFont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24" xfId="0" applyFont="1" applyFill="1" applyBorder="1" applyAlignment="1">
      <alignment horizontal="center" vertical="center" wrapText="1"/>
    </xf>
    <xf numFmtId="0" fontId="0" fillId="9" borderId="28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13" fillId="0" borderId="16" xfId="0" applyFont="1" applyBorder="1" applyAlignment="1">
      <alignment horizontal="center" vertical="center"/>
    </xf>
    <xf numFmtId="0" fontId="44" fillId="0" borderId="16" xfId="0" quotePrefix="1" applyFont="1" applyBorder="1" applyAlignment="1">
      <alignment horizontal="left" vertical="center" wrapText="1"/>
    </xf>
    <xf numFmtId="0" fontId="12" fillId="0" borderId="16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24" fillId="0" borderId="24" xfId="0" applyFont="1" applyBorder="1" applyAlignment="1">
      <alignment horizontal="left" vertical="top" wrapText="1"/>
    </xf>
    <xf numFmtId="0" fontId="24" fillId="0" borderId="20" xfId="0" applyFont="1" applyBorder="1" applyAlignment="1">
      <alignment horizontal="left" vertical="top" wrapText="1"/>
    </xf>
    <xf numFmtId="0" fontId="24" fillId="0" borderId="36" xfId="0" applyFont="1" applyBorder="1" applyAlignment="1">
      <alignment horizontal="left" vertical="top" wrapText="1"/>
    </xf>
    <xf numFmtId="0" fontId="24" fillId="0" borderId="37" xfId="0" applyFont="1" applyBorder="1" applyAlignment="1">
      <alignment horizontal="left" vertical="top" wrapText="1"/>
    </xf>
    <xf numFmtId="0" fontId="24" fillId="0" borderId="15" xfId="0" applyFont="1" applyBorder="1" applyAlignment="1">
      <alignment horizontal="left" vertical="top" wrapText="1"/>
    </xf>
    <xf numFmtId="0" fontId="24" fillId="0" borderId="38" xfId="0" applyFont="1" applyBorder="1" applyAlignment="1">
      <alignment horizontal="left" vertical="top" wrapText="1"/>
    </xf>
    <xf numFmtId="0" fontId="24" fillId="0" borderId="27" xfId="0" applyFont="1" applyBorder="1" applyAlignment="1">
      <alignment horizontal="left" vertical="top" wrapText="1"/>
    </xf>
    <xf numFmtId="0" fontId="24" fillId="0" borderId="29" xfId="0" applyFont="1" applyBorder="1" applyAlignment="1">
      <alignment horizontal="left" vertical="top" wrapText="1"/>
    </xf>
    <xf numFmtId="0" fontId="24" fillId="0" borderId="39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15" fontId="8" fillId="0" borderId="0" xfId="0" applyNumberFormat="1" applyFont="1" applyAlignment="1">
      <alignment horizontal="left" vertical="center" wrapText="1"/>
    </xf>
    <xf numFmtId="0" fontId="6" fillId="3" borderId="16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8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28" fillId="0" borderId="5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33" fillId="0" borderId="16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38" fillId="0" borderId="2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47" fillId="0" borderId="2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47" fillId="0" borderId="5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34" fillId="0" borderId="15" xfId="0" applyFont="1" applyBorder="1" applyAlignment="1">
      <alignment vertical="center" wrapText="1"/>
    </xf>
    <xf numFmtId="0" fontId="34" fillId="0" borderId="14" xfId="0" applyFont="1" applyBorder="1" applyAlignment="1">
      <alignment vertical="center" wrapText="1"/>
    </xf>
    <xf numFmtId="0" fontId="34" fillId="0" borderId="32" xfId="0" applyFont="1" applyBorder="1" applyAlignment="1">
      <alignment vertical="center" wrapText="1"/>
    </xf>
    <xf numFmtId="0" fontId="30" fillId="0" borderId="29" xfId="0" applyFont="1" applyBorder="1" applyAlignment="1">
      <alignment vertical="center" wrapText="1"/>
    </xf>
    <xf numFmtId="0" fontId="30" fillId="0" borderId="33" xfId="0" applyFont="1" applyBorder="1" applyAlignment="1">
      <alignment vertical="center" wrapText="1"/>
    </xf>
    <xf numFmtId="0" fontId="30" fillId="0" borderId="28" xfId="0" applyFont="1" applyBorder="1" applyAlignment="1">
      <alignment vertical="center" wrapText="1"/>
    </xf>
    <xf numFmtId="0" fontId="3" fillId="3" borderId="5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top"/>
    </xf>
    <xf numFmtId="0" fontId="2" fillId="0" borderId="46" xfId="0" applyFont="1" applyBorder="1" applyAlignment="1">
      <alignment horizontal="center" vertical="top"/>
    </xf>
    <xf numFmtId="0" fontId="2" fillId="3" borderId="5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9" fillId="0" borderId="14" xfId="0" applyFont="1" applyBorder="1" applyAlignment="1">
      <alignment vertical="center" wrapText="1"/>
    </xf>
    <xf numFmtId="0" fontId="39" fillId="0" borderId="32" xfId="0" applyFont="1" applyBorder="1" applyAlignment="1">
      <alignment vertical="center" wrapText="1"/>
    </xf>
    <xf numFmtId="0" fontId="30" fillId="0" borderId="15" xfId="0" applyFont="1" applyBorder="1" applyAlignment="1">
      <alignment vertical="center" wrapText="1"/>
    </xf>
    <xf numFmtId="0" fontId="30" fillId="0" borderId="14" xfId="0" applyFont="1" applyBorder="1" applyAlignment="1">
      <alignment vertical="center" wrapText="1"/>
    </xf>
    <xf numFmtId="0" fontId="30" fillId="0" borderId="32" xfId="0" applyFont="1" applyBorder="1" applyAlignment="1">
      <alignment vertical="center" wrapText="1"/>
    </xf>
    <xf numFmtId="0" fontId="9" fillId="3" borderId="3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47" xfId="0" applyFont="1" applyFill="1" applyBorder="1" applyAlignment="1">
      <alignment horizontal="center" vertical="center"/>
    </xf>
    <xf numFmtId="0" fontId="9" fillId="3" borderId="55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9" fillId="0" borderId="16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4" fillId="5" borderId="52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1" fontId="9" fillId="0" borderId="25" xfId="0" applyNumberFormat="1" applyFont="1" applyBorder="1" applyAlignment="1">
      <alignment horizontal="center" vertical="center"/>
    </xf>
    <xf numFmtId="1" fontId="9" fillId="0" borderId="12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1" fontId="9" fillId="0" borderId="16" xfId="0" applyNumberFormat="1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0" borderId="53" xfId="0" applyFont="1" applyBorder="1" applyAlignment="1">
      <alignment horizontal="center"/>
    </xf>
    <xf numFmtId="0" fontId="4" fillId="0" borderId="16" xfId="0" applyFont="1" applyBorder="1" applyAlignment="1">
      <alignment horizontal="center" vertical="center"/>
    </xf>
    <xf numFmtId="15" fontId="8" fillId="0" borderId="0" xfId="0" applyNumberFormat="1" applyFont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1" fontId="9" fillId="0" borderId="0" xfId="0" applyNumberFormat="1" applyFont="1" applyAlignment="1">
      <alignment horizontal="center" vertical="center"/>
    </xf>
    <xf numFmtId="1" fontId="9" fillId="0" borderId="22" xfId="0" applyNumberFormat="1" applyFont="1" applyBorder="1" applyAlignment="1">
      <alignment horizontal="center" vertical="center"/>
    </xf>
    <xf numFmtId="0" fontId="32" fillId="0" borderId="16" xfId="0" applyFont="1" applyBorder="1" applyAlignment="1">
      <alignment horizontal="left" vertical="top" wrapText="1"/>
    </xf>
    <xf numFmtId="44" fontId="3" fillId="0" borderId="29" xfId="0" applyNumberFormat="1" applyFont="1" applyBorder="1" applyAlignment="1">
      <alignment horizontal="center" vertical="center"/>
    </xf>
    <xf numFmtId="10" fontId="3" fillId="0" borderId="5" xfId="0" applyNumberFormat="1" applyFont="1" applyBorder="1" applyAlignment="1">
      <alignment horizontal="center" vertical="center"/>
    </xf>
    <xf numFmtId="10" fontId="3" fillId="3" borderId="5" xfId="0" applyNumberFormat="1" applyFont="1" applyFill="1" applyBorder="1" applyAlignment="1">
      <alignment horizontal="center" vertical="center"/>
    </xf>
    <xf numFmtId="44" fontId="3" fillId="0" borderId="16" xfId="0" applyNumberFormat="1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36" fillId="0" borderId="16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38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400050</xdr:colOff>
      <xdr:row>13</xdr:row>
      <xdr:rowOff>123825</xdr:rowOff>
    </xdr:from>
    <xdr:to>
      <xdr:col>36</xdr:col>
      <xdr:colOff>57150</xdr:colOff>
      <xdr:row>23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6471EF-08C9-A6D5-A3C0-EAF0FA544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64675" y="3457575"/>
          <a:ext cx="6972300" cy="2647950"/>
        </a:xfrm>
        <a:prstGeom prst="rect">
          <a:avLst/>
        </a:prstGeom>
      </xdr:spPr>
    </xdr:pic>
    <xdr:clientData/>
  </xdr:twoCellAnchor>
  <xdr:twoCellAnchor editAs="oneCell">
    <xdr:from>
      <xdr:col>12</xdr:col>
      <xdr:colOff>123825</xdr:colOff>
      <xdr:row>8</xdr:row>
      <xdr:rowOff>152400</xdr:rowOff>
    </xdr:from>
    <xdr:to>
      <xdr:col>20</xdr:col>
      <xdr:colOff>323850</xdr:colOff>
      <xdr:row>14</xdr:row>
      <xdr:rowOff>257175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099A72BB-1B26-40F5-AF52-78A41C94BDAB}"/>
            </a:ext>
            <a:ext uri="{147F2762-F138-4A5C-976F-8EAC2B608ADB}">
              <a16:predDERef xmlns:a16="http://schemas.microsoft.com/office/drawing/2014/main" pred="{026471EF-08C9-A6D5-A3C0-EAF0FA544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573250" y="1990725"/>
          <a:ext cx="5076825" cy="1876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190500</xdr:colOff>
      <xdr:row>0</xdr:row>
      <xdr:rowOff>200025</xdr:rowOff>
    </xdr:from>
    <xdr:to>
      <xdr:col>21</xdr:col>
      <xdr:colOff>304800</xdr:colOff>
      <xdr:row>11</xdr:row>
      <xdr:rowOff>114300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A1192A4E-4065-EE6B-DFDC-E5099DF27B7E}"/>
            </a:ext>
            <a:ext uri="{147F2762-F138-4A5C-976F-8EAC2B608ADB}">
              <a16:predDERef xmlns:a16="http://schemas.microsoft.com/office/drawing/2014/main" pred="{8BBF582C-4D5A-0E50-6851-AB305D10B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40425" y="200025"/>
          <a:ext cx="4572000" cy="3019425"/>
        </a:xfrm>
        <a:prstGeom prst="rect">
          <a:avLst/>
        </a:prstGeom>
      </xdr:spPr>
    </xdr:pic>
    <xdr:clientData/>
  </xdr:twoCellAnchor>
  <xdr:twoCellAnchor editAs="oneCell">
    <xdr:from>
      <xdr:col>19</xdr:col>
      <xdr:colOff>209550</xdr:colOff>
      <xdr:row>11</xdr:row>
      <xdr:rowOff>133350</xdr:rowOff>
    </xdr:from>
    <xdr:to>
      <xdr:col>21</xdr:col>
      <xdr:colOff>323850</xdr:colOff>
      <xdr:row>19</xdr:row>
      <xdr:rowOff>295275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AEA23E5C-82ED-228B-E68B-6599306C4F92}"/>
            </a:ext>
            <a:ext uri="{147F2762-F138-4A5C-976F-8EAC2B608ADB}">
              <a16:predDERef xmlns:a16="http://schemas.microsoft.com/office/drawing/2014/main" pred="{A1192A4E-4065-EE6B-DFDC-E5099DF27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659475" y="3238500"/>
          <a:ext cx="4572000" cy="3124200"/>
        </a:xfrm>
        <a:prstGeom prst="rect">
          <a:avLst/>
        </a:prstGeom>
      </xdr:spPr>
    </xdr:pic>
    <xdr:clientData/>
  </xdr:twoCellAnchor>
  <xdr:twoCellAnchor editAs="oneCell">
    <xdr:from>
      <xdr:col>21</xdr:col>
      <xdr:colOff>342900</xdr:colOff>
      <xdr:row>0</xdr:row>
      <xdr:rowOff>190500</xdr:rowOff>
    </xdr:from>
    <xdr:to>
      <xdr:col>22</xdr:col>
      <xdr:colOff>971550</xdr:colOff>
      <xdr:row>11</xdr:row>
      <xdr:rowOff>123825</xdr:rowOff>
    </xdr:to>
    <xdr:pic>
      <xdr:nvPicPr>
        <xdr:cNvPr id="12" name="Picture 3">
          <a:extLst>
            <a:ext uri="{FF2B5EF4-FFF2-40B4-BE49-F238E27FC236}">
              <a16:creationId xmlns:a16="http://schemas.microsoft.com/office/drawing/2014/main" id="{0E1E163D-2F83-311E-287D-20080602A2B7}"/>
            </a:ext>
            <a:ext uri="{147F2762-F138-4A5C-976F-8EAC2B608ADB}">
              <a16:predDERef xmlns:a16="http://schemas.microsoft.com/office/drawing/2014/main" pred="{AEA23E5C-82ED-228B-E68B-6599306C4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250525" y="190500"/>
          <a:ext cx="4572000" cy="3038475"/>
        </a:xfrm>
        <a:prstGeom prst="rect">
          <a:avLst/>
        </a:prstGeom>
      </xdr:spPr>
    </xdr:pic>
    <xdr:clientData/>
  </xdr:twoCellAnchor>
  <xdr:twoCellAnchor editAs="oneCell">
    <xdr:from>
      <xdr:col>21</xdr:col>
      <xdr:colOff>381000</xdr:colOff>
      <xdr:row>11</xdr:row>
      <xdr:rowOff>142875</xdr:rowOff>
    </xdr:from>
    <xdr:to>
      <xdr:col>22</xdr:col>
      <xdr:colOff>1009650</xdr:colOff>
      <xdr:row>19</xdr:row>
      <xdr:rowOff>295275</xdr:rowOff>
    </xdr:to>
    <xdr:pic>
      <xdr:nvPicPr>
        <xdr:cNvPr id="16" name="Picture 5">
          <a:extLst>
            <a:ext uri="{FF2B5EF4-FFF2-40B4-BE49-F238E27FC236}">
              <a16:creationId xmlns:a16="http://schemas.microsoft.com/office/drawing/2014/main" id="{521AE0C9-2A40-39F9-CF03-B10B3593625B}"/>
            </a:ext>
            <a:ext uri="{147F2762-F138-4A5C-976F-8EAC2B608ADB}">
              <a16:predDERef xmlns:a16="http://schemas.microsoft.com/office/drawing/2014/main" pred="{0E1E163D-2F83-311E-287D-20080602A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288625" y="3248025"/>
          <a:ext cx="4572000" cy="3114675"/>
        </a:xfrm>
        <a:prstGeom prst="rect">
          <a:avLst/>
        </a:prstGeom>
      </xdr:spPr>
    </xdr:pic>
    <xdr:clientData/>
  </xdr:twoCellAnchor>
  <xdr:twoCellAnchor editAs="oneCell">
    <xdr:from>
      <xdr:col>21</xdr:col>
      <xdr:colOff>57150</xdr:colOff>
      <xdr:row>21</xdr:row>
      <xdr:rowOff>257175</xdr:rowOff>
    </xdr:from>
    <xdr:to>
      <xdr:col>29</xdr:col>
      <xdr:colOff>285750</xdr:colOff>
      <xdr:row>29</xdr:row>
      <xdr:rowOff>114300</xdr:rowOff>
    </xdr:to>
    <xdr:pic>
      <xdr:nvPicPr>
        <xdr:cNvPr id="20" name="Picture 6">
          <a:extLst>
            <a:ext uri="{FF2B5EF4-FFF2-40B4-BE49-F238E27FC236}">
              <a16:creationId xmlns:a16="http://schemas.microsoft.com/office/drawing/2014/main" id="{FC61B9A1-F501-0F94-BA7D-1408851CD1F1}"/>
            </a:ext>
            <a:ext uri="{147F2762-F138-4A5C-976F-8EAC2B608ADB}">
              <a16:predDERef xmlns:a16="http://schemas.microsoft.com/office/drawing/2014/main" pred="{521AE0C9-2A40-39F9-CF03-B10B35936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964775" y="7048500"/>
          <a:ext cx="8896350" cy="34671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1</xdr:row>
      <xdr:rowOff>57150</xdr:rowOff>
    </xdr:from>
    <xdr:to>
      <xdr:col>11</xdr:col>
      <xdr:colOff>304800</xdr:colOff>
      <xdr:row>28</xdr:row>
      <xdr:rowOff>19050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8F7488F6-21A0-CBA4-C099-762D6AD65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247650"/>
          <a:ext cx="6915150" cy="5105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file:///\\sv-file-ippi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7C8E0-BC40-4ADD-B4C5-95743116D00E}">
  <dimension ref="A1:DO22"/>
  <sheetViews>
    <sheetView showGridLines="0" workbookViewId="0">
      <selection activeCell="E10" sqref="E10"/>
    </sheetView>
  </sheetViews>
  <sheetFormatPr defaultRowHeight="15"/>
  <cols>
    <col min="2" max="2" width="31.42578125" bestFit="1" customWidth="1"/>
    <col min="3" max="3" width="30" bestFit="1" customWidth="1"/>
    <col min="4" max="4" width="19" bestFit="1" customWidth="1"/>
    <col min="5" max="5" width="30.85546875" bestFit="1" customWidth="1"/>
    <col min="6" max="6" width="19.140625" bestFit="1" customWidth="1"/>
    <col min="7" max="7" width="28.140625" bestFit="1" customWidth="1"/>
    <col min="8" max="8" width="12.42578125" bestFit="1" customWidth="1"/>
    <col min="14" max="14" width="9.140625" style="200"/>
  </cols>
  <sheetData>
    <row r="1" spans="1:119" ht="21" customHeight="1">
      <c r="A1" s="118"/>
      <c r="B1" s="119" t="s">
        <v>0</v>
      </c>
      <c r="C1" s="302">
        <f ca="1">TODAY()-1</f>
        <v>46252</v>
      </c>
      <c r="D1" s="302"/>
      <c r="E1" s="119"/>
      <c r="F1" s="119"/>
      <c r="G1" s="119"/>
      <c r="H1" s="119"/>
      <c r="I1" s="119"/>
      <c r="J1" s="120"/>
      <c r="K1" s="120"/>
      <c r="L1" s="121"/>
      <c r="M1" s="121"/>
      <c r="N1" s="199"/>
      <c r="O1" s="121"/>
      <c r="P1" s="121"/>
      <c r="Q1" s="121"/>
    </row>
    <row r="2" spans="1:119">
      <c r="A2" s="96"/>
      <c r="B2" s="122" t="s">
        <v>1</v>
      </c>
      <c r="C2" s="122"/>
      <c r="D2" s="122"/>
      <c r="E2" s="16"/>
      <c r="F2" s="16"/>
      <c r="G2" s="16"/>
      <c r="H2" s="123"/>
      <c r="I2" s="123"/>
      <c r="J2" s="123"/>
      <c r="K2" s="123"/>
      <c r="U2" s="97"/>
      <c r="W2" s="1"/>
    </row>
    <row r="3" spans="1:119" ht="23.25">
      <c r="A3" s="96"/>
      <c r="B3" s="124"/>
      <c r="C3" s="125" t="s">
        <v>2</v>
      </c>
      <c r="D3" s="125" t="s">
        <v>3</v>
      </c>
      <c r="E3" s="125" t="s">
        <v>4</v>
      </c>
      <c r="F3" s="291" t="s">
        <v>5</v>
      </c>
      <c r="G3" s="291"/>
      <c r="H3" s="291"/>
      <c r="I3" s="291"/>
      <c r="J3" s="291"/>
      <c r="K3" s="291"/>
      <c r="L3" s="48" t="s">
        <v>6</v>
      </c>
      <c r="U3" s="97"/>
    </row>
    <row r="4" spans="1:119" ht="15.75">
      <c r="A4" s="96"/>
      <c r="B4" s="126" t="s">
        <v>7</v>
      </c>
      <c r="C4" s="7">
        <v>0</v>
      </c>
      <c r="D4" s="7">
        <v>1</v>
      </c>
      <c r="E4" s="127">
        <v>3</v>
      </c>
      <c r="F4" s="292"/>
      <c r="G4" s="293"/>
      <c r="H4" s="293"/>
      <c r="I4" s="293"/>
      <c r="J4" s="293"/>
      <c r="K4" s="294"/>
      <c r="L4" s="98"/>
      <c r="U4" s="97"/>
    </row>
    <row r="5" spans="1:119" ht="15.75" customHeight="1">
      <c r="A5" s="96"/>
      <c r="B5" s="126" t="s">
        <v>8</v>
      </c>
      <c r="C5" s="7">
        <v>0</v>
      </c>
      <c r="D5" s="7">
        <v>0</v>
      </c>
      <c r="E5" s="127">
        <v>0</v>
      </c>
      <c r="F5" s="295"/>
      <c r="G5" s="296"/>
      <c r="H5" s="296"/>
      <c r="I5" s="296"/>
      <c r="J5" s="296"/>
      <c r="K5" s="297"/>
      <c r="L5" s="99"/>
      <c r="U5" s="97"/>
    </row>
    <row r="6" spans="1:119" ht="15.75">
      <c r="A6" s="96"/>
      <c r="B6" s="126" t="s">
        <v>9</v>
      </c>
      <c r="C6" s="7">
        <v>0</v>
      </c>
      <c r="D6" s="7">
        <v>0</v>
      </c>
      <c r="E6" s="127">
        <v>0</v>
      </c>
      <c r="F6" s="298"/>
      <c r="G6" s="299"/>
      <c r="H6" s="299"/>
      <c r="I6" s="299"/>
      <c r="J6" s="299"/>
      <c r="K6" s="300"/>
      <c r="L6" s="100"/>
      <c r="U6" s="97"/>
    </row>
    <row r="7" spans="1:119">
      <c r="A7" s="96"/>
      <c r="B7" s="123"/>
      <c r="C7" s="128"/>
      <c r="D7" s="123"/>
      <c r="E7" s="123"/>
      <c r="F7" s="123"/>
      <c r="G7" s="16"/>
      <c r="H7" s="123"/>
      <c r="I7" s="123"/>
      <c r="J7" s="123"/>
      <c r="K7" s="123"/>
      <c r="U7" s="97"/>
    </row>
    <row r="8" spans="1:119" ht="23.25">
      <c r="A8" s="96"/>
      <c r="B8" s="125" t="s">
        <v>10</v>
      </c>
      <c r="C8" s="125" t="s">
        <v>11</v>
      </c>
      <c r="D8" s="125" t="s">
        <v>12</v>
      </c>
      <c r="E8" s="125" t="s">
        <v>13</v>
      </c>
      <c r="F8" s="125" t="s">
        <v>14</v>
      </c>
      <c r="G8" s="125" t="s">
        <v>15</v>
      </c>
      <c r="H8" s="125" t="s">
        <v>4</v>
      </c>
      <c r="I8" s="129"/>
      <c r="J8" s="130"/>
      <c r="K8" s="130"/>
      <c r="L8" s="48" t="s">
        <v>6</v>
      </c>
      <c r="N8" s="201"/>
      <c r="O8" s="2"/>
      <c r="P8" s="2"/>
      <c r="Q8" s="2"/>
      <c r="R8" s="2"/>
      <c r="S8" s="2"/>
      <c r="T8" s="2"/>
      <c r="U8" s="101"/>
      <c r="V8" s="38"/>
      <c r="W8" s="301"/>
    </row>
    <row r="9" spans="1:119" ht="23.25">
      <c r="A9" s="96"/>
      <c r="B9" s="131" t="s">
        <v>16</v>
      </c>
      <c r="C9" s="7">
        <v>2</v>
      </c>
      <c r="D9" s="7">
        <v>0.27</v>
      </c>
      <c r="E9" s="132">
        <v>592600</v>
      </c>
      <c r="F9" s="7">
        <v>0</v>
      </c>
      <c r="G9" s="132">
        <v>6865019</v>
      </c>
      <c r="H9" s="133">
        <f>7/G9*1000000</f>
        <v>1.0196621451448278</v>
      </c>
      <c r="I9" s="134"/>
      <c r="J9" s="134"/>
      <c r="K9" s="134"/>
      <c r="L9" s="102"/>
      <c r="M9" s="231"/>
      <c r="N9" s="201">
        <v>1207782</v>
      </c>
      <c r="O9" s="38"/>
      <c r="P9" s="38"/>
      <c r="Q9" s="38"/>
      <c r="R9" s="38"/>
      <c r="S9" s="38"/>
      <c r="T9" s="38"/>
      <c r="U9" s="101"/>
      <c r="V9" s="38"/>
      <c r="W9" s="301"/>
    </row>
    <row r="10" spans="1:119" ht="23.25">
      <c r="A10" s="96"/>
      <c r="B10" s="131" t="s">
        <v>17</v>
      </c>
      <c r="C10" s="7">
        <v>0</v>
      </c>
      <c r="D10" s="7">
        <v>0.27</v>
      </c>
      <c r="E10" s="132">
        <v>28070</v>
      </c>
      <c r="F10" s="7">
        <v>0</v>
      </c>
      <c r="G10" s="132">
        <v>350103</v>
      </c>
      <c r="H10" s="135">
        <f>2/G10*1000000</f>
        <v>5.7126045763675259</v>
      </c>
      <c r="I10" s="95"/>
      <c r="J10" s="95"/>
      <c r="K10" s="95"/>
      <c r="L10" s="103"/>
      <c r="M10" s="231"/>
      <c r="N10" s="201">
        <v>60854</v>
      </c>
      <c r="O10" s="38"/>
      <c r="P10" s="38"/>
      <c r="Q10" s="38"/>
      <c r="R10" s="38"/>
      <c r="S10" s="38"/>
      <c r="T10" s="38"/>
      <c r="U10" s="101"/>
      <c r="V10" s="38"/>
      <c r="W10" s="301"/>
    </row>
    <row r="11" spans="1:119" ht="23.25">
      <c r="A11" s="96"/>
      <c r="B11" s="136" t="s">
        <v>18</v>
      </c>
      <c r="C11" s="7">
        <v>5</v>
      </c>
      <c r="D11" s="7">
        <v>0.27</v>
      </c>
      <c r="E11" s="132">
        <v>73645</v>
      </c>
      <c r="F11" s="7">
        <v>0</v>
      </c>
      <c r="G11" s="132">
        <v>879462</v>
      </c>
      <c r="H11" s="137">
        <f>12/G11*1000000</f>
        <v>13.644705513143263</v>
      </c>
      <c r="I11" s="95"/>
      <c r="J11" s="95"/>
      <c r="K11" s="95"/>
      <c r="L11" s="103"/>
      <c r="M11" s="231"/>
      <c r="N11" s="201">
        <v>224290</v>
      </c>
      <c r="O11" s="38"/>
      <c r="P11" s="38"/>
      <c r="Q11" s="38"/>
      <c r="R11" s="38"/>
      <c r="S11" s="38"/>
      <c r="T11" s="38"/>
      <c r="U11" s="101"/>
      <c r="V11" s="38"/>
      <c r="W11" s="301"/>
    </row>
    <row r="12" spans="1:119" ht="23.25">
      <c r="A12" s="96"/>
      <c r="B12" s="136" t="s">
        <v>19</v>
      </c>
      <c r="C12" s="7">
        <v>0</v>
      </c>
      <c r="D12" s="7">
        <v>0.27</v>
      </c>
      <c r="E12" s="132">
        <v>1600</v>
      </c>
      <c r="F12" s="7">
        <v>0</v>
      </c>
      <c r="G12" s="132">
        <v>3041</v>
      </c>
      <c r="H12" s="137">
        <v>0</v>
      </c>
      <c r="I12" s="95"/>
      <c r="J12" s="95"/>
      <c r="K12" s="95"/>
      <c r="L12" s="103"/>
      <c r="M12" s="231"/>
      <c r="U12" s="97"/>
    </row>
    <row r="13" spans="1:119" ht="23.25">
      <c r="A13" s="96"/>
      <c r="B13" s="136" t="s">
        <v>20</v>
      </c>
      <c r="C13" s="7">
        <v>0</v>
      </c>
      <c r="D13" s="7">
        <v>0.27</v>
      </c>
      <c r="E13" s="132">
        <v>45</v>
      </c>
      <c r="F13" s="7">
        <v>0</v>
      </c>
      <c r="G13" s="132">
        <v>490</v>
      </c>
      <c r="H13" s="137">
        <v>0</v>
      </c>
      <c r="I13" s="95"/>
      <c r="J13" s="95"/>
      <c r="K13" s="95"/>
      <c r="L13" s="103"/>
      <c r="M13" s="231"/>
      <c r="U13" s="97"/>
    </row>
    <row r="14" spans="1:119" ht="23.25">
      <c r="A14" s="96"/>
      <c r="B14" s="136" t="s">
        <v>21</v>
      </c>
      <c r="C14" s="7">
        <v>0</v>
      </c>
      <c r="D14" s="7">
        <v>0.27</v>
      </c>
      <c r="E14" s="132">
        <v>2880</v>
      </c>
      <c r="F14" s="7">
        <v>0</v>
      </c>
      <c r="G14" s="132">
        <v>22158</v>
      </c>
      <c r="H14" s="137">
        <v>0</v>
      </c>
      <c r="I14" s="95"/>
      <c r="J14" s="95"/>
      <c r="K14" s="95"/>
      <c r="L14" s="103"/>
      <c r="M14" s="231"/>
      <c r="N14" s="200">
        <v>4141</v>
      </c>
      <c r="U14" s="97"/>
    </row>
    <row r="15" spans="1:119" ht="23.25">
      <c r="A15" s="96"/>
      <c r="B15" s="138" t="s">
        <v>22</v>
      </c>
      <c r="C15" s="139" t="s">
        <v>23</v>
      </c>
      <c r="D15" s="7">
        <v>0.27</v>
      </c>
      <c r="E15" s="132">
        <v>68138</v>
      </c>
      <c r="F15" s="140">
        <v>0</v>
      </c>
      <c r="G15" s="132">
        <v>771523</v>
      </c>
      <c r="H15" s="141">
        <v>0</v>
      </c>
      <c r="I15" s="95"/>
      <c r="J15" s="95"/>
      <c r="K15" s="95"/>
      <c r="L15" s="103"/>
      <c r="M15" s="231"/>
      <c r="N15" s="200">
        <v>143197</v>
      </c>
      <c r="U15" s="97"/>
      <c r="DN15" t="s">
        <v>24</v>
      </c>
      <c r="DO15" s="104" t="s">
        <v>25</v>
      </c>
    </row>
    <row r="16" spans="1:119" ht="23.25">
      <c r="A16" s="96"/>
      <c r="B16" s="142" t="s">
        <v>26</v>
      </c>
      <c r="C16" s="142">
        <v>0.5</v>
      </c>
      <c r="D16" s="142">
        <v>0.27</v>
      </c>
      <c r="E16" s="143">
        <f>SUM(E9:E15)</f>
        <v>766978</v>
      </c>
      <c r="F16" s="144"/>
      <c r="G16" s="143">
        <f>SUM(G9:G15)</f>
        <v>8891796</v>
      </c>
      <c r="H16" s="145">
        <f>10/G16*1000000</f>
        <v>1.1246321890425734</v>
      </c>
      <c r="I16" s="146"/>
      <c r="J16" s="146"/>
      <c r="K16" s="146"/>
      <c r="L16" s="105"/>
      <c r="M16" s="231"/>
      <c r="U16" s="97"/>
      <c r="DO16" s="104"/>
    </row>
    <row r="17" spans="1:119" ht="23.25">
      <c r="A17" s="96"/>
      <c r="B17" s="106"/>
      <c r="C17" s="107"/>
      <c r="D17" s="107"/>
      <c r="E17" s="107"/>
      <c r="F17" s="107"/>
      <c r="G17" s="107"/>
      <c r="H17" s="107"/>
      <c r="I17" s="107"/>
      <c r="J17" s="107"/>
      <c r="K17" s="107"/>
      <c r="L17" s="108"/>
      <c r="U17" s="97"/>
      <c r="DO17" s="104"/>
    </row>
    <row r="18" spans="1:119" ht="23.25">
      <c r="A18" s="96"/>
      <c r="B18" s="109"/>
      <c r="C18" s="110"/>
      <c r="D18" s="110"/>
      <c r="E18" s="110"/>
      <c r="F18" s="110"/>
      <c r="G18" s="110"/>
      <c r="H18" s="110"/>
      <c r="I18" s="110"/>
      <c r="J18" s="110"/>
      <c r="K18" s="110"/>
      <c r="L18" s="111"/>
      <c r="U18" s="97"/>
      <c r="DO18" s="104"/>
    </row>
    <row r="19" spans="1:119" ht="23.25">
      <c r="A19" s="96"/>
      <c r="B19" s="112"/>
      <c r="C19" s="110"/>
      <c r="D19" s="110"/>
      <c r="E19" s="110"/>
      <c r="F19" s="110"/>
      <c r="G19" s="110"/>
      <c r="H19" s="110"/>
      <c r="I19" s="110"/>
      <c r="J19" s="110"/>
      <c r="K19" s="110"/>
      <c r="L19" s="111"/>
      <c r="U19" s="97"/>
      <c r="DO19" s="104"/>
    </row>
    <row r="20" spans="1:119" ht="23.25">
      <c r="A20" s="96"/>
      <c r="B20" s="113"/>
      <c r="C20" s="114"/>
      <c r="D20" s="114"/>
      <c r="E20" s="114"/>
      <c r="F20" s="114"/>
      <c r="G20" s="114"/>
      <c r="H20" s="114"/>
      <c r="I20" s="114"/>
      <c r="J20" s="114"/>
      <c r="K20" s="114"/>
      <c r="L20" s="115"/>
      <c r="U20" s="97"/>
      <c r="DO20" s="104"/>
    </row>
    <row r="22" spans="1:119" ht="23.25">
      <c r="B22" s="166"/>
    </row>
  </sheetData>
  <mergeCells count="4">
    <mergeCell ref="F3:K3"/>
    <mergeCell ref="F4:K6"/>
    <mergeCell ref="W8:W11"/>
    <mergeCell ref="C1:D1"/>
  </mergeCells>
  <conditionalFormatting sqref="D4:E6">
    <cfRule type="cellIs" dxfId="119" priority="11" operator="equal">
      <formula>0</formula>
    </cfRule>
    <cfRule type="cellIs" dxfId="118" priority="12" operator="greaterThan">
      <formula>0</formula>
    </cfRule>
  </conditionalFormatting>
  <conditionalFormatting sqref="F9:F15">
    <cfRule type="cellIs" dxfId="117" priority="13" operator="equal">
      <formula>0</formula>
    </cfRule>
    <cfRule type="cellIs" dxfId="116" priority="14" operator="greaterThan">
      <formula>0</formula>
    </cfRule>
  </conditionalFormatting>
  <conditionalFormatting sqref="H9 H11:H15">
    <cfRule type="cellIs" dxfId="115" priority="7" operator="lessThan">
      <formula>$D$19</formula>
    </cfRule>
    <cfRule type="cellIs" dxfId="114" priority="8" operator="greaterThan">
      <formula>$D$19</formula>
    </cfRule>
  </conditionalFormatting>
  <conditionalFormatting sqref="H10">
    <cfRule type="cellIs" dxfId="113" priority="5" operator="equal">
      <formula>0</formula>
    </cfRule>
    <cfRule type="cellIs" dxfId="112" priority="6" operator="greaterThan">
      <formula>0</formula>
    </cfRule>
  </conditionalFormatting>
  <conditionalFormatting sqref="H16">
    <cfRule type="cellIs" dxfId="111" priority="9" operator="lessThan">
      <formula>$C$26</formula>
    </cfRule>
    <cfRule type="cellIs" dxfId="110" priority="10" operator="greaterThan">
      <formula>$C$26</formula>
    </cfRule>
  </conditionalFormatting>
  <hyperlinks>
    <hyperlink ref="DO15" r:id="rId1" xr:uid="{92095E1D-645C-4DFA-B02E-1071563AEE94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K126"/>
  <sheetViews>
    <sheetView showGridLines="0" topLeftCell="A10" zoomScale="68" zoomScaleNormal="60" workbookViewId="0">
      <selection activeCell="G27" sqref="G27:H30"/>
    </sheetView>
  </sheetViews>
  <sheetFormatPr defaultRowHeight="15" customHeight="1"/>
  <cols>
    <col min="1" max="1" width="3.5703125" customWidth="1"/>
    <col min="2" max="2" width="32.42578125" customWidth="1"/>
    <col min="3" max="3" width="11.5703125" customWidth="1"/>
    <col min="4" max="4" width="9.42578125" customWidth="1"/>
    <col min="5" max="5" width="8.5703125" customWidth="1"/>
    <col min="6" max="6" width="9.28515625" customWidth="1"/>
    <col min="7" max="7" width="8.5703125" customWidth="1"/>
    <col min="8" max="8" width="9.85546875" customWidth="1"/>
    <col min="9" max="9" width="14.5703125" customWidth="1"/>
    <col min="10" max="10" width="25.140625" customWidth="1"/>
    <col min="11" max="11" width="48.7109375" customWidth="1"/>
    <col min="12" max="12" width="17" customWidth="1"/>
    <col min="13" max="14" width="9.28515625" customWidth="1"/>
    <col min="15" max="15" width="16.5703125" customWidth="1"/>
    <col min="16" max="16" width="11.28515625" bestFit="1" customWidth="1"/>
    <col min="17" max="17" width="8.5703125" bestFit="1" customWidth="1"/>
    <col min="18" max="18" width="11.7109375" bestFit="1" customWidth="1"/>
    <col min="19" max="19" width="11.28515625" customWidth="1"/>
    <col min="20" max="20" width="49.28515625" customWidth="1"/>
    <col min="21" max="21" width="17.5703125" customWidth="1"/>
    <col min="22" max="22" width="59.140625" customWidth="1"/>
    <col min="23" max="23" width="16" customWidth="1"/>
  </cols>
  <sheetData>
    <row r="1" spans="2:22" ht="25.5" customHeight="1">
      <c r="B1" s="30" t="s">
        <v>0</v>
      </c>
      <c r="C1" s="405">
        <f ca="1">TODAY()-4</f>
        <v>46249</v>
      </c>
      <c r="D1" s="405"/>
      <c r="E1" s="29"/>
      <c r="F1" s="29"/>
      <c r="G1" s="29"/>
      <c r="H1" s="29"/>
      <c r="I1" s="29"/>
      <c r="J1" s="18"/>
      <c r="K1" s="18"/>
      <c r="L1" s="13"/>
      <c r="M1" s="13"/>
      <c r="N1" s="13"/>
      <c r="O1" s="13"/>
      <c r="P1" s="13"/>
      <c r="Q1" s="13"/>
      <c r="R1" s="13"/>
    </row>
    <row r="2" spans="2:22" ht="21">
      <c r="B2" s="149" t="s">
        <v>27</v>
      </c>
      <c r="C2" s="28"/>
      <c r="D2" s="28"/>
      <c r="E2" s="28"/>
      <c r="F2" s="28"/>
      <c r="G2" s="18"/>
      <c r="H2" s="18"/>
      <c r="I2" s="18"/>
      <c r="J2" s="18"/>
      <c r="K2" s="18"/>
      <c r="L2" s="13"/>
      <c r="M2" s="13"/>
      <c r="N2" s="13"/>
      <c r="O2" s="13"/>
      <c r="P2" s="13"/>
      <c r="Q2" s="13"/>
      <c r="R2" s="13"/>
    </row>
    <row r="3" spans="2:22" ht="21">
      <c r="B3" s="27"/>
      <c r="C3" s="312" t="s">
        <v>2</v>
      </c>
      <c r="D3" s="312"/>
      <c r="E3" s="312" t="s">
        <v>3</v>
      </c>
      <c r="F3" s="312"/>
      <c r="G3" s="312" t="s">
        <v>28</v>
      </c>
      <c r="H3" s="312"/>
      <c r="I3" s="391" t="s">
        <v>5</v>
      </c>
      <c r="J3" s="391"/>
      <c r="K3" s="391"/>
      <c r="L3" s="391"/>
      <c r="M3" s="391"/>
      <c r="N3" s="391"/>
      <c r="O3" s="391"/>
      <c r="P3" s="391"/>
      <c r="Q3" s="391"/>
      <c r="R3" s="391"/>
      <c r="S3" s="391"/>
      <c r="T3" s="2"/>
      <c r="U3" s="2"/>
      <c r="V3" s="2"/>
    </row>
    <row r="4" spans="2:22" ht="21">
      <c r="B4" s="26" t="s">
        <v>29</v>
      </c>
      <c r="C4" s="304">
        <v>0</v>
      </c>
      <c r="D4" s="304"/>
      <c r="E4" s="304">
        <v>0</v>
      </c>
      <c r="F4" s="304"/>
      <c r="G4" s="402">
        <f>E4-C4</f>
        <v>0</v>
      </c>
      <c r="H4" s="402"/>
      <c r="I4" s="403"/>
      <c r="J4" s="403"/>
      <c r="K4" s="403"/>
      <c r="L4" s="403"/>
      <c r="M4" s="403"/>
      <c r="N4" s="403"/>
      <c r="O4" s="403"/>
      <c r="P4" s="403"/>
      <c r="Q4" s="403"/>
      <c r="R4" s="403"/>
      <c r="S4" s="403"/>
      <c r="T4" s="165"/>
      <c r="U4" s="165"/>
      <c r="V4" s="392"/>
    </row>
    <row r="5" spans="2:22" ht="21">
      <c r="B5" s="26" t="s">
        <v>30</v>
      </c>
      <c r="C5" s="304">
        <v>0</v>
      </c>
      <c r="D5" s="304"/>
      <c r="E5" s="304">
        <v>0</v>
      </c>
      <c r="F5" s="304"/>
      <c r="G5" s="402">
        <f>E5-C5</f>
        <v>0</v>
      </c>
      <c r="H5" s="402"/>
      <c r="I5" s="403"/>
      <c r="J5" s="403"/>
      <c r="K5" s="403"/>
      <c r="L5" s="403"/>
      <c r="M5" s="403"/>
      <c r="N5" s="403"/>
      <c r="O5" s="403"/>
      <c r="P5" s="403"/>
      <c r="Q5" s="403"/>
      <c r="R5" s="403"/>
      <c r="S5" s="403"/>
      <c r="T5" s="165"/>
      <c r="U5" s="165"/>
      <c r="V5" s="392"/>
    </row>
    <row r="6" spans="2:22" ht="21">
      <c r="B6" s="26" t="s">
        <v>31</v>
      </c>
      <c r="C6" s="304">
        <v>0</v>
      </c>
      <c r="D6" s="304"/>
      <c r="E6" s="304">
        <v>0</v>
      </c>
      <c r="F6" s="304"/>
      <c r="G6" s="402">
        <f>E6-C6</f>
        <v>0</v>
      </c>
      <c r="H6" s="402"/>
      <c r="I6" s="416"/>
      <c r="J6" s="416"/>
      <c r="K6" s="416"/>
      <c r="L6" s="416"/>
      <c r="M6" s="416"/>
      <c r="N6" s="416"/>
      <c r="O6" s="416"/>
      <c r="P6" s="416"/>
      <c r="Q6" s="416"/>
      <c r="R6" s="416"/>
      <c r="S6" s="416"/>
      <c r="T6" s="18"/>
      <c r="U6" s="18"/>
      <c r="V6" s="392"/>
    </row>
    <row r="8" spans="2:22" ht="21">
      <c r="B8" s="328" t="s">
        <v>32</v>
      </c>
      <c r="C8" s="328"/>
      <c r="D8" s="13"/>
    </row>
    <row r="9" spans="2:22" ht="21">
      <c r="B9" s="175" t="s">
        <v>33</v>
      </c>
      <c r="C9" s="404" t="s">
        <v>2</v>
      </c>
      <c r="D9" s="404"/>
      <c r="E9" s="404" t="s">
        <v>3</v>
      </c>
      <c r="F9" s="404"/>
      <c r="G9" s="404" t="s">
        <v>4</v>
      </c>
      <c r="H9" s="404"/>
      <c r="I9" s="400" t="s">
        <v>34</v>
      </c>
      <c r="J9" s="400"/>
      <c r="K9" s="400"/>
      <c r="L9" s="400"/>
      <c r="M9" s="400"/>
      <c r="N9" s="2"/>
      <c r="O9" s="221" t="s">
        <v>35</v>
      </c>
      <c r="P9" s="11" t="s">
        <v>2</v>
      </c>
      <c r="Q9" s="3" t="s">
        <v>36</v>
      </c>
      <c r="R9" s="3" t="s">
        <v>3</v>
      </c>
      <c r="S9" s="179" t="s">
        <v>28</v>
      </c>
      <c r="U9" s="2"/>
      <c r="V9" s="2"/>
    </row>
    <row r="10" spans="2:22" ht="28.5" customHeight="1">
      <c r="B10" s="176" t="s">
        <v>37</v>
      </c>
      <c r="C10" s="406" t="s">
        <v>38</v>
      </c>
      <c r="D10" s="406"/>
      <c r="E10" s="393">
        <f>(0)/(E24+E67)</f>
        <v>0</v>
      </c>
      <c r="F10" s="393"/>
      <c r="G10" s="393">
        <v>0</v>
      </c>
      <c r="H10" s="393"/>
      <c r="I10" s="411" t="s">
        <v>39</v>
      </c>
      <c r="J10" s="411"/>
      <c r="K10" s="411"/>
      <c r="L10" s="411"/>
      <c r="M10" s="411"/>
      <c r="N10" s="219"/>
      <c r="O10" s="396" t="s">
        <v>37</v>
      </c>
      <c r="P10" s="397">
        <v>540</v>
      </c>
      <c r="Q10" s="399">
        <v>432.82758619999998</v>
      </c>
      <c r="R10" s="399">
        <v>384.74950339999998</v>
      </c>
      <c r="S10" s="401">
        <f>R10-Q10</f>
        <v>-48.078082800000004</v>
      </c>
      <c r="U10" s="164"/>
      <c r="V10" s="409"/>
    </row>
    <row r="11" spans="2:22" ht="28.5" customHeight="1">
      <c r="B11" s="117" t="s">
        <v>40</v>
      </c>
      <c r="C11" s="406" t="s">
        <v>38</v>
      </c>
      <c r="D11" s="406"/>
      <c r="E11" s="393">
        <v>0</v>
      </c>
      <c r="F11" s="393"/>
      <c r="G11" s="393">
        <v>0</v>
      </c>
      <c r="H11" s="393"/>
      <c r="I11" s="411"/>
      <c r="J11" s="411"/>
      <c r="K11" s="411"/>
      <c r="L11" s="411"/>
      <c r="M11" s="411"/>
      <c r="N11" s="219"/>
      <c r="O11" s="396"/>
      <c r="P11" s="397"/>
      <c r="Q11" s="399"/>
      <c r="R11" s="399"/>
      <c r="S11" s="401"/>
      <c r="U11" s="164"/>
      <c r="V11" s="409"/>
    </row>
    <row r="12" spans="2:22" ht="28.5" customHeight="1">
      <c r="B12" s="117" t="s">
        <v>41</v>
      </c>
      <c r="C12" s="406" t="s">
        <v>38</v>
      </c>
      <c r="D12" s="406"/>
      <c r="E12" s="393">
        <f>(450+450)/E48</f>
        <v>0.39929015084294589</v>
      </c>
      <c r="F12" s="393"/>
      <c r="G12" s="393">
        <v>6.4999999999999997E-3</v>
      </c>
      <c r="H12" s="393"/>
      <c r="I12" s="411"/>
      <c r="J12" s="411"/>
      <c r="K12" s="411"/>
      <c r="L12" s="411"/>
      <c r="M12" s="411"/>
      <c r="N12" s="219"/>
      <c r="O12" s="396" t="s">
        <v>40</v>
      </c>
      <c r="P12" s="394">
        <v>550</v>
      </c>
      <c r="Q12" s="401">
        <v>504.359531</v>
      </c>
      <c r="R12" s="401">
        <v>448.60834569999997</v>
      </c>
      <c r="S12" s="398">
        <f>R12-Q12</f>
        <v>-55.751185300000031</v>
      </c>
      <c r="U12" s="164"/>
      <c r="V12" s="409"/>
    </row>
    <row r="13" spans="2:22" ht="42" customHeight="1">
      <c r="B13" s="117" t="s">
        <v>42</v>
      </c>
      <c r="C13" s="406" t="s">
        <v>38</v>
      </c>
      <c r="D13" s="406"/>
      <c r="E13" s="393">
        <v>0</v>
      </c>
      <c r="F13" s="393"/>
      <c r="G13" s="393">
        <v>0</v>
      </c>
      <c r="H13" s="393"/>
      <c r="I13" s="411"/>
      <c r="J13" s="411"/>
      <c r="K13" s="411"/>
      <c r="L13" s="411"/>
      <c r="M13" s="411"/>
      <c r="N13" s="219"/>
      <c r="O13" s="396"/>
      <c r="P13" s="394"/>
      <c r="Q13" s="401"/>
      <c r="R13" s="401"/>
      <c r="S13" s="398"/>
      <c r="U13" s="164"/>
      <c r="V13" s="409"/>
    </row>
    <row r="14" spans="2:22" ht="28.5" customHeight="1">
      <c r="B14" s="19"/>
      <c r="C14" s="17"/>
      <c r="D14" s="17"/>
      <c r="E14" s="17"/>
      <c r="F14" s="25"/>
      <c r="G14" s="25"/>
      <c r="H14" s="25"/>
      <c r="I14" s="167"/>
      <c r="J14" s="233"/>
      <c r="K14" s="233"/>
      <c r="L14" s="167"/>
      <c r="M14" s="160"/>
      <c r="N14" s="160"/>
      <c r="O14" s="396" t="s">
        <v>41</v>
      </c>
      <c r="P14" s="394">
        <v>355</v>
      </c>
      <c r="Q14" s="401">
        <v>209.6744186</v>
      </c>
      <c r="R14" s="401">
        <v>203.36842110000001</v>
      </c>
      <c r="S14" s="398">
        <f>R14-Q14</f>
        <v>-6.3059974999999895</v>
      </c>
      <c r="U14" s="164"/>
      <c r="V14" s="409"/>
    </row>
    <row r="15" spans="2:22" ht="21">
      <c r="B15" s="24" t="s">
        <v>43</v>
      </c>
      <c r="C15" s="349" t="s">
        <v>2</v>
      </c>
      <c r="D15" s="349"/>
      <c r="E15" s="349" t="s">
        <v>3</v>
      </c>
      <c r="F15" s="349"/>
      <c r="G15" s="349" t="s">
        <v>44</v>
      </c>
      <c r="H15" s="349"/>
      <c r="I15" s="23" t="s">
        <v>4</v>
      </c>
      <c r="J15" s="23" t="s">
        <v>45</v>
      </c>
      <c r="K15" s="395" t="s">
        <v>5</v>
      </c>
      <c r="L15" s="395"/>
      <c r="M15" s="395"/>
      <c r="N15" s="2"/>
      <c r="O15" s="396"/>
      <c r="P15" s="394"/>
      <c r="Q15" s="401"/>
      <c r="R15" s="401"/>
      <c r="S15" s="398"/>
      <c r="U15" s="164"/>
      <c r="V15" s="409"/>
    </row>
    <row r="16" spans="2:22" ht="28.5" customHeight="1">
      <c r="B16" s="8" t="s">
        <v>37</v>
      </c>
      <c r="C16" s="383" t="s">
        <v>46</v>
      </c>
      <c r="D16" s="383"/>
      <c r="E16" s="413"/>
      <c r="F16" s="413"/>
      <c r="G16" s="412"/>
      <c r="H16" s="412"/>
      <c r="I16" s="31">
        <v>0</v>
      </c>
      <c r="J16" s="230">
        <v>72320</v>
      </c>
      <c r="K16" s="419" t="s">
        <v>47</v>
      </c>
      <c r="L16" s="419"/>
      <c r="M16" s="419"/>
      <c r="N16" s="220"/>
      <c r="O16" s="417" t="s">
        <v>42</v>
      </c>
      <c r="P16" s="418">
        <v>535</v>
      </c>
      <c r="Q16" s="410">
        <v>456.21079049999997</v>
      </c>
      <c r="R16" s="410">
        <v>385.96380799999997</v>
      </c>
      <c r="S16" s="401">
        <f>R16-Q16</f>
        <v>-70.246982500000001</v>
      </c>
      <c r="U16" s="164"/>
      <c r="V16" s="409"/>
    </row>
    <row r="17" spans="2:35" ht="28.5" customHeight="1">
      <c r="B17" s="6" t="s">
        <v>40</v>
      </c>
      <c r="C17" s="383" t="s">
        <v>46</v>
      </c>
      <c r="D17" s="383"/>
      <c r="E17" s="414">
        <f>17/17865</f>
        <v>9.5158130422614054E-4</v>
      </c>
      <c r="F17" s="414"/>
      <c r="G17" s="412">
        <f>120010+361728+2884780</f>
        <v>3366518</v>
      </c>
      <c r="H17" s="412"/>
      <c r="I17" s="31">
        <v>0</v>
      </c>
      <c r="J17" s="230">
        <f>4687768+6120000+6851354+5760000+4327171+4327171+4141785+4500000+5769561+3366518</f>
        <v>49851328</v>
      </c>
      <c r="K17" s="419"/>
      <c r="L17" s="419"/>
      <c r="M17" s="419"/>
      <c r="N17" s="220"/>
      <c r="O17" s="417"/>
      <c r="P17" s="418"/>
      <c r="Q17" s="410"/>
      <c r="R17" s="410"/>
      <c r="S17" s="401"/>
      <c r="U17" s="164"/>
      <c r="V17" s="409"/>
    </row>
    <row r="18" spans="2:35" ht="28.5" customHeight="1">
      <c r="B18" s="6" t="s">
        <v>41</v>
      </c>
      <c r="C18" s="383" t="s">
        <v>46</v>
      </c>
      <c r="D18" s="383"/>
      <c r="E18" s="414"/>
      <c r="F18" s="414"/>
      <c r="G18" s="415"/>
      <c r="H18" s="415"/>
      <c r="I18" s="31">
        <v>0</v>
      </c>
      <c r="J18" s="32">
        <f>236501+3245378+5400000</f>
        <v>8881879</v>
      </c>
      <c r="K18" s="419"/>
      <c r="L18" s="419"/>
      <c r="M18" s="419"/>
      <c r="N18" s="220"/>
      <c r="O18" s="21"/>
      <c r="P18" s="20"/>
      <c r="Q18" s="20"/>
    </row>
    <row r="19" spans="2:35" ht="27.75" customHeight="1">
      <c r="B19" s="6" t="s">
        <v>42</v>
      </c>
      <c r="C19" s="383" t="s">
        <v>46</v>
      </c>
      <c r="D19" s="383"/>
      <c r="E19" s="414"/>
      <c r="F19" s="414"/>
      <c r="G19" s="412"/>
      <c r="H19" s="412"/>
      <c r="I19" s="31">
        <v>5.9999999999999995E-4</v>
      </c>
      <c r="J19" s="32">
        <f>2524183+4327171+497583+497583</f>
        <v>7846520</v>
      </c>
      <c r="K19" s="419"/>
      <c r="L19" s="419"/>
      <c r="M19" s="419"/>
      <c r="N19" s="220"/>
      <c r="O19" s="21"/>
      <c r="P19" s="20"/>
      <c r="Q19" s="20"/>
    </row>
    <row r="20" spans="2:35" ht="28.5" customHeight="1">
      <c r="B20" s="19"/>
      <c r="C20" s="18"/>
      <c r="D20" s="18"/>
      <c r="E20" s="17"/>
      <c r="F20" s="17"/>
      <c r="G20" s="16"/>
      <c r="H20" s="16"/>
      <c r="I20" s="16"/>
      <c r="J20" s="14"/>
      <c r="K20" s="232"/>
      <c r="L20" s="14"/>
      <c r="M20" s="14"/>
      <c r="N20" s="14"/>
      <c r="O20" s="15"/>
      <c r="P20" s="15"/>
      <c r="Q20" s="15"/>
      <c r="R20" s="14"/>
    </row>
    <row r="21" spans="2:35" ht="28.5" customHeight="1">
      <c r="B21" s="19"/>
      <c r="C21" s="18"/>
      <c r="D21" s="18"/>
      <c r="E21" s="17"/>
      <c r="F21" s="17"/>
      <c r="G21" s="16"/>
      <c r="H21" s="16"/>
      <c r="I21" s="16"/>
      <c r="J21" s="14"/>
      <c r="K21" s="33"/>
      <c r="L21" s="14"/>
      <c r="M21" s="14"/>
      <c r="N21" s="14"/>
      <c r="O21" s="15"/>
      <c r="P21" s="15"/>
      <c r="Q21" s="15"/>
      <c r="R21" s="14"/>
    </row>
    <row r="22" spans="2:35" ht="21">
      <c r="B22" s="328" t="s">
        <v>48</v>
      </c>
      <c r="C22" s="328"/>
      <c r="D22" s="328"/>
    </row>
    <row r="23" spans="2:35" ht="21">
      <c r="B23" s="12" t="s">
        <v>49</v>
      </c>
      <c r="C23" s="312" t="s">
        <v>36</v>
      </c>
      <c r="D23" s="312"/>
      <c r="E23" s="312" t="s">
        <v>50</v>
      </c>
      <c r="F23" s="312"/>
      <c r="G23" s="312" t="s">
        <v>28</v>
      </c>
      <c r="H23" s="312"/>
      <c r="I23" s="11" t="s">
        <v>51</v>
      </c>
      <c r="J23" s="312" t="s">
        <v>52</v>
      </c>
      <c r="K23" s="312"/>
      <c r="L23" s="313" t="s">
        <v>53</v>
      </c>
      <c r="M23" s="313"/>
      <c r="N23" s="313"/>
      <c r="O23" s="313"/>
      <c r="P23" s="313"/>
      <c r="Q23" s="313"/>
      <c r="R23" s="313"/>
      <c r="S23" s="312" t="s">
        <v>54</v>
      </c>
      <c r="T23" s="312"/>
      <c r="U23" s="3" t="s">
        <v>55</v>
      </c>
      <c r="X23" s="407"/>
      <c r="Y23" s="407"/>
      <c r="Z23" s="407"/>
      <c r="AA23" s="407"/>
      <c r="AB23" s="407"/>
      <c r="AC23" s="407"/>
      <c r="AD23" s="407"/>
      <c r="AE23" s="407"/>
      <c r="AF23" s="407"/>
      <c r="AG23" s="407"/>
      <c r="AH23" s="407"/>
      <c r="AI23" s="407"/>
    </row>
    <row r="24" spans="2:35" ht="28.5" customHeight="1">
      <c r="B24" s="185" t="s">
        <v>37</v>
      </c>
      <c r="C24" s="195">
        <v>4720</v>
      </c>
      <c r="D24" s="195">
        <v>11</v>
      </c>
      <c r="E24" s="180">
        <f>C24-800</f>
        <v>3920</v>
      </c>
      <c r="F24" s="195">
        <v>11</v>
      </c>
      <c r="G24" s="310">
        <f>E24-C24</f>
        <v>-800</v>
      </c>
      <c r="H24" s="310"/>
      <c r="I24" s="197"/>
      <c r="J24" s="315"/>
      <c r="K24" s="315"/>
      <c r="L24" s="322"/>
      <c r="M24" s="322"/>
      <c r="N24" s="322"/>
      <c r="O24" s="322"/>
      <c r="P24" s="322"/>
      <c r="Q24" s="322"/>
      <c r="R24" s="322"/>
      <c r="S24" s="408"/>
      <c r="T24" s="408"/>
      <c r="U24" s="4"/>
      <c r="X24" s="407"/>
      <c r="Y24" s="407"/>
      <c r="Z24" s="407"/>
      <c r="AA24" s="407"/>
      <c r="AB24" s="407"/>
      <c r="AC24" s="407"/>
      <c r="AD24" s="407"/>
      <c r="AE24" s="407"/>
      <c r="AF24" s="407"/>
      <c r="AG24" s="407"/>
      <c r="AH24" s="407"/>
      <c r="AI24" s="198"/>
    </row>
    <row r="25" spans="2:35" ht="42.75" customHeight="1">
      <c r="B25" s="234" t="s">
        <v>56</v>
      </c>
      <c r="C25" s="303">
        <v>400</v>
      </c>
      <c r="D25" s="303"/>
      <c r="E25" s="303">
        <v>400</v>
      </c>
      <c r="F25" s="303"/>
      <c r="G25" s="310">
        <f>E25-C25</f>
        <v>0</v>
      </c>
      <c r="H25" s="310"/>
      <c r="I25" s="196" t="s">
        <v>57</v>
      </c>
      <c r="J25" s="304" t="s">
        <v>58</v>
      </c>
      <c r="K25" s="304"/>
      <c r="L25" s="305" t="s">
        <v>59</v>
      </c>
      <c r="M25" s="305"/>
      <c r="N25" s="305"/>
      <c r="O25" s="305"/>
      <c r="P25" s="305"/>
      <c r="Q25" s="305"/>
      <c r="R25" s="305"/>
      <c r="S25" s="306" t="s">
        <v>60</v>
      </c>
      <c r="T25" s="306"/>
      <c r="U25" s="235">
        <v>20</v>
      </c>
      <c r="X25" s="198"/>
      <c r="Y25" s="198"/>
      <c r="Z25" s="198"/>
      <c r="AA25" s="198"/>
      <c r="AB25" s="198"/>
      <c r="AC25" s="198"/>
      <c r="AD25" s="198"/>
      <c r="AE25" s="198"/>
      <c r="AF25" s="198"/>
      <c r="AG25" s="198"/>
      <c r="AH25" s="198"/>
      <c r="AI25" s="198"/>
    </row>
    <row r="26" spans="2:35" ht="42.75" customHeight="1">
      <c r="B26" s="234" t="s">
        <v>61</v>
      </c>
      <c r="C26" s="303">
        <v>240</v>
      </c>
      <c r="D26" s="303"/>
      <c r="E26" s="303">
        <v>240</v>
      </c>
      <c r="F26" s="303"/>
      <c r="G26" s="310">
        <f>E26-C26</f>
        <v>0</v>
      </c>
      <c r="H26" s="310"/>
      <c r="I26" s="196" t="s">
        <v>62</v>
      </c>
      <c r="J26" s="304" t="s">
        <v>63</v>
      </c>
      <c r="K26" s="304"/>
      <c r="L26" s="305" t="s">
        <v>64</v>
      </c>
      <c r="M26" s="305"/>
      <c r="N26" s="305"/>
      <c r="O26" s="305"/>
      <c r="P26" s="305"/>
      <c r="Q26" s="305"/>
      <c r="R26" s="305"/>
      <c r="S26" s="306" t="s">
        <v>65</v>
      </c>
      <c r="T26" s="306"/>
      <c r="U26" s="235">
        <v>25</v>
      </c>
      <c r="X26" s="198"/>
      <c r="Y26" s="198"/>
      <c r="Z26" s="198"/>
      <c r="AA26" s="198"/>
      <c r="AB26" s="198"/>
      <c r="AC26" s="198"/>
      <c r="AD26" s="198"/>
      <c r="AE26" s="198"/>
      <c r="AF26" s="198"/>
      <c r="AG26" s="198"/>
      <c r="AH26" s="198"/>
      <c r="AI26" s="198"/>
    </row>
    <row r="27" spans="2:35" ht="42.75" customHeight="1">
      <c r="B27" s="234" t="s">
        <v>66</v>
      </c>
      <c r="C27" s="303">
        <v>600</v>
      </c>
      <c r="D27" s="303"/>
      <c r="E27" s="303">
        <v>600</v>
      </c>
      <c r="F27" s="303"/>
      <c r="G27" s="310">
        <f t="shared" ref="G27:G30" si="0">E27-C27</f>
        <v>0</v>
      </c>
      <c r="H27" s="310"/>
      <c r="I27" s="196" t="s">
        <v>67</v>
      </c>
      <c r="J27" s="304" t="s">
        <v>68</v>
      </c>
      <c r="K27" s="304"/>
      <c r="L27" s="305" t="s">
        <v>69</v>
      </c>
      <c r="M27" s="305"/>
      <c r="N27" s="305"/>
      <c r="O27" s="305"/>
      <c r="P27" s="305"/>
      <c r="Q27" s="305"/>
      <c r="R27" s="305"/>
      <c r="S27" s="306" t="s">
        <v>70</v>
      </c>
      <c r="T27" s="306"/>
      <c r="U27" s="235">
        <v>9</v>
      </c>
      <c r="X27" s="198"/>
      <c r="Y27" s="198"/>
      <c r="Z27" s="198"/>
      <c r="AA27" s="198"/>
      <c r="AB27" s="198"/>
      <c r="AC27" s="198"/>
      <c r="AD27" s="198"/>
      <c r="AE27" s="198"/>
      <c r="AF27" s="198"/>
      <c r="AG27" s="198"/>
      <c r="AH27" s="198"/>
      <c r="AI27" s="198"/>
    </row>
    <row r="28" spans="2:35" ht="42.75" customHeight="1">
      <c r="B28" s="234" t="s">
        <v>71</v>
      </c>
      <c r="C28" s="303">
        <v>500</v>
      </c>
      <c r="D28" s="303"/>
      <c r="E28" s="303">
        <v>500</v>
      </c>
      <c r="F28" s="303"/>
      <c r="G28" s="310">
        <f t="shared" si="0"/>
        <v>0</v>
      </c>
      <c r="H28" s="310"/>
      <c r="I28" s="196" t="s">
        <v>67</v>
      </c>
      <c r="J28" s="304" t="s">
        <v>72</v>
      </c>
      <c r="K28" s="304"/>
      <c r="L28" s="305" t="s">
        <v>69</v>
      </c>
      <c r="M28" s="305"/>
      <c r="N28" s="305"/>
      <c r="O28" s="305"/>
      <c r="P28" s="305"/>
      <c r="Q28" s="305"/>
      <c r="R28" s="305"/>
      <c r="S28" s="306" t="s">
        <v>70</v>
      </c>
      <c r="T28" s="306"/>
      <c r="U28" s="235">
        <v>17</v>
      </c>
      <c r="X28" s="198"/>
      <c r="Y28" s="198"/>
      <c r="Z28" s="198"/>
      <c r="AA28" s="198"/>
      <c r="AB28" s="198"/>
      <c r="AC28" s="198"/>
      <c r="AD28" s="198"/>
      <c r="AE28" s="198"/>
      <c r="AF28" s="198"/>
      <c r="AG28" s="198"/>
      <c r="AH28" s="198"/>
      <c r="AI28" s="198"/>
    </row>
    <row r="29" spans="2:35" ht="42.75" customHeight="1">
      <c r="B29" s="234" t="s">
        <v>73</v>
      </c>
      <c r="C29" s="303">
        <v>300</v>
      </c>
      <c r="D29" s="303"/>
      <c r="E29" s="303">
        <v>300</v>
      </c>
      <c r="F29" s="303"/>
      <c r="G29" s="310">
        <f t="shared" si="0"/>
        <v>0</v>
      </c>
      <c r="H29" s="310"/>
      <c r="I29" s="196" t="s">
        <v>67</v>
      </c>
      <c r="J29" s="304" t="s">
        <v>74</v>
      </c>
      <c r="K29" s="304"/>
      <c r="L29" s="305"/>
      <c r="M29" s="305"/>
      <c r="N29" s="305"/>
      <c r="O29" s="305"/>
      <c r="P29" s="305"/>
      <c r="Q29" s="305"/>
      <c r="R29" s="305"/>
      <c r="S29" s="306"/>
      <c r="T29" s="306"/>
      <c r="U29" s="235">
        <v>25</v>
      </c>
      <c r="X29" s="198"/>
      <c r="Y29" s="198"/>
      <c r="Z29" s="198"/>
      <c r="AA29" s="198"/>
      <c r="AB29" s="198"/>
      <c r="AC29" s="198"/>
      <c r="AD29" s="198"/>
      <c r="AE29" s="198"/>
      <c r="AF29" s="198"/>
      <c r="AG29" s="198"/>
      <c r="AH29" s="198"/>
      <c r="AI29" s="198"/>
    </row>
    <row r="30" spans="2:35" ht="42.75" customHeight="1">
      <c r="B30" s="234" t="s">
        <v>75</v>
      </c>
      <c r="C30" s="303">
        <v>500</v>
      </c>
      <c r="D30" s="303"/>
      <c r="E30" s="303">
        <v>500</v>
      </c>
      <c r="F30" s="303"/>
      <c r="G30" s="310">
        <f t="shared" si="0"/>
        <v>0</v>
      </c>
      <c r="H30" s="310"/>
      <c r="I30" s="196" t="s">
        <v>67</v>
      </c>
      <c r="J30" s="304" t="s">
        <v>76</v>
      </c>
      <c r="K30" s="304"/>
      <c r="L30" s="317" t="s">
        <v>77</v>
      </c>
      <c r="M30" s="318"/>
      <c r="N30" s="318"/>
      <c r="O30" s="318"/>
      <c r="P30" s="318"/>
      <c r="Q30" s="318"/>
      <c r="R30" s="319"/>
      <c r="S30" s="306" t="s">
        <v>78</v>
      </c>
      <c r="T30" s="306"/>
      <c r="U30" s="235">
        <v>8</v>
      </c>
      <c r="X30" s="198"/>
      <c r="Y30" s="198"/>
      <c r="Z30" s="198"/>
      <c r="AA30" s="198"/>
      <c r="AB30" s="198"/>
      <c r="AC30" s="198"/>
      <c r="AD30" s="198"/>
      <c r="AE30" s="198"/>
      <c r="AF30" s="198"/>
      <c r="AG30" s="198"/>
      <c r="AH30" s="198"/>
      <c r="AI30" s="198"/>
    </row>
    <row r="31" spans="2:35" ht="42.75" customHeight="1">
      <c r="B31" s="234" t="s">
        <v>79</v>
      </c>
      <c r="C31" s="303"/>
      <c r="D31" s="303"/>
      <c r="E31" s="303"/>
      <c r="F31" s="303"/>
      <c r="G31" s="303"/>
      <c r="H31" s="303"/>
      <c r="I31" s="196"/>
      <c r="J31" s="304"/>
      <c r="K31" s="304"/>
      <c r="L31" s="305"/>
      <c r="M31" s="305"/>
      <c r="N31" s="305"/>
      <c r="O31" s="305"/>
      <c r="P31" s="305"/>
      <c r="Q31" s="305"/>
      <c r="R31" s="305"/>
      <c r="S31" s="306"/>
      <c r="T31" s="306"/>
      <c r="U31" s="235"/>
      <c r="X31" s="198"/>
      <c r="Y31" s="198"/>
      <c r="Z31" s="198"/>
      <c r="AA31" s="198"/>
      <c r="AB31" s="198"/>
      <c r="AC31" s="198"/>
      <c r="AD31" s="198"/>
      <c r="AE31" s="198"/>
      <c r="AF31" s="198"/>
      <c r="AG31" s="198"/>
      <c r="AH31" s="198"/>
      <c r="AI31" s="198"/>
    </row>
    <row r="32" spans="2:35" ht="42.75" customHeight="1">
      <c r="B32" s="234" t="s">
        <v>80</v>
      </c>
      <c r="C32" s="303">
        <v>500</v>
      </c>
      <c r="D32" s="303"/>
      <c r="E32" s="303">
        <v>0</v>
      </c>
      <c r="F32" s="303"/>
      <c r="G32" s="303">
        <f>E32-C32</f>
        <v>-500</v>
      </c>
      <c r="H32" s="303"/>
      <c r="I32" s="196"/>
      <c r="J32" s="304"/>
      <c r="K32" s="304"/>
      <c r="L32" s="305"/>
      <c r="M32" s="305"/>
      <c r="N32" s="305"/>
      <c r="O32" s="305"/>
      <c r="P32" s="305"/>
      <c r="Q32" s="305"/>
      <c r="R32" s="305"/>
      <c r="S32" s="306"/>
      <c r="T32" s="306"/>
      <c r="U32" s="235"/>
      <c r="X32" s="198"/>
      <c r="Y32" s="198"/>
      <c r="Z32" s="198"/>
      <c r="AA32" s="198"/>
      <c r="AB32" s="198"/>
      <c r="AC32" s="198"/>
      <c r="AD32" s="198"/>
      <c r="AE32" s="198"/>
      <c r="AF32" s="198"/>
      <c r="AG32" s="198"/>
      <c r="AH32" s="198"/>
      <c r="AI32" s="198"/>
    </row>
    <row r="33" spans="2:37" ht="42.75" customHeight="1">
      <c r="B33" s="234" t="s">
        <v>81</v>
      </c>
      <c r="C33" s="303">
        <v>300</v>
      </c>
      <c r="D33" s="303"/>
      <c r="E33" s="303">
        <v>0</v>
      </c>
      <c r="F33" s="303"/>
      <c r="G33" s="303">
        <f>E33-C33</f>
        <v>-300</v>
      </c>
      <c r="H33" s="303"/>
      <c r="I33" s="196"/>
      <c r="J33" s="304"/>
      <c r="K33" s="304"/>
      <c r="L33" s="305"/>
      <c r="M33" s="305"/>
      <c r="N33" s="305"/>
      <c r="O33" s="305"/>
      <c r="P33" s="305"/>
      <c r="Q33" s="305"/>
      <c r="R33" s="305"/>
      <c r="S33" s="306"/>
      <c r="T33" s="306"/>
      <c r="U33" s="235"/>
      <c r="X33" s="198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</row>
    <row r="34" spans="2:37" ht="21">
      <c r="B34" s="313" t="s">
        <v>82</v>
      </c>
      <c r="C34" s="313"/>
      <c r="D34" s="313"/>
      <c r="E34" s="313"/>
      <c r="F34" s="313"/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  <c r="T34" s="313"/>
      <c r="U34" s="116">
        <f>SUM(U25:U30)</f>
        <v>104</v>
      </c>
      <c r="Z34" s="198"/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</row>
    <row r="35" spans="2:37" ht="21"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9"/>
    </row>
    <row r="36" spans="2:37" ht="21">
      <c r="B36" s="12" t="s">
        <v>49</v>
      </c>
      <c r="C36" s="312" t="s">
        <v>36</v>
      </c>
      <c r="D36" s="312"/>
      <c r="E36" s="312" t="s">
        <v>83</v>
      </c>
      <c r="F36" s="312"/>
      <c r="G36" s="312" t="s">
        <v>28</v>
      </c>
      <c r="H36" s="312"/>
      <c r="I36" s="11" t="s">
        <v>51</v>
      </c>
      <c r="J36" s="312" t="s">
        <v>52</v>
      </c>
      <c r="K36" s="312"/>
      <c r="L36" s="313" t="s">
        <v>53</v>
      </c>
      <c r="M36" s="313"/>
      <c r="N36" s="313"/>
      <c r="O36" s="313"/>
      <c r="P36" s="313"/>
      <c r="Q36" s="313"/>
      <c r="R36" s="313"/>
      <c r="S36" s="312" t="s">
        <v>54</v>
      </c>
      <c r="T36" s="312"/>
      <c r="U36" s="3" t="s">
        <v>55</v>
      </c>
    </row>
    <row r="37" spans="2:37" ht="28.5" customHeight="1">
      <c r="B37" s="8" t="s">
        <v>40</v>
      </c>
      <c r="C37" s="147">
        <v>9470</v>
      </c>
      <c r="D37" s="147">
        <v>22</v>
      </c>
      <c r="E37" s="195">
        <f>C37-240-400-180</f>
        <v>8650</v>
      </c>
      <c r="F37" s="195">
        <v>18</v>
      </c>
      <c r="G37" s="310">
        <f>E37-C37</f>
        <v>-820</v>
      </c>
      <c r="H37" s="310"/>
      <c r="I37" s="216"/>
      <c r="J37" s="315"/>
      <c r="K37" s="315"/>
      <c r="L37" s="322"/>
      <c r="M37" s="322"/>
      <c r="N37" s="322"/>
      <c r="O37" s="322"/>
      <c r="P37" s="322"/>
      <c r="Q37" s="322"/>
      <c r="R37" s="322"/>
      <c r="S37" s="314"/>
      <c r="T37" s="314"/>
      <c r="U37" s="22"/>
    </row>
    <row r="38" spans="2:37" ht="28.5" customHeight="1">
      <c r="B38" s="6" t="s">
        <v>84</v>
      </c>
      <c r="C38" s="308">
        <v>240</v>
      </c>
      <c r="D38" s="308"/>
      <c r="E38" s="309">
        <v>240</v>
      </c>
      <c r="F38" s="309"/>
      <c r="G38" s="316">
        <f>E38-C38</f>
        <v>0</v>
      </c>
      <c r="H38" s="316"/>
      <c r="I38" s="218" t="s">
        <v>67</v>
      </c>
      <c r="J38" s="304" t="s">
        <v>85</v>
      </c>
      <c r="K38" s="304"/>
      <c r="L38" s="305" t="s">
        <v>86</v>
      </c>
      <c r="M38" s="305"/>
      <c r="N38" s="305"/>
      <c r="O38" s="305"/>
      <c r="P38" s="305"/>
      <c r="Q38" s="305"/>
      <c r="R38" s="305"/>
      <c r="S38" s="306" t="s">
        <v>78</v>
      </c>
      <c r="T38" s="306"/>
      <c r="U38" s="235">
        <v>40</v>
      </c>
    </row>
    <row r="39" spans="2:37" ht="28.5" customHeight="1">
      <c r="B39" s="6" t="s">
        <v>87</v>
      </c>
      <c r="C39" s="308">
        <v>240</v>
      </c>
      <c r="D39" s="308"/>
      <c r="E39" s="309">
        <v>240</v>
      </c>
      <c r="F39" s="309"/>
      <c r="G39" s="316">
        <v>0</v>
      </c>
      <c r="H39" s="316"/>
      <c r="I39" s="218" t="s">
        <v>67</v>
      </c>
      <c r="J39" s="304" t="s">
        <v>88</v>
      </c>
      <c r="K39" s="304"/>
      <c r="L39" s="317" t="s">
        <v>77</v>
      </c>
      <c r="M39" s="318"/>
      <c r="N39" s="318"/>
      <c r="O39" s="318"/>
      <c r="P39" s="318"/>
      <c r="Q39" s="318"/>
      <c r="R39" s="319"/>
      <c r="S39" s="306" t="s">
        <v>78</v>
      </c>
      <c r="T39" s="306"/>
      <c r="U39" s="235">
        <v>10</v>
      </c>
    </row>
    <row r="40" spans="2:37" ht="28.5" customHeight="1">
      <c r="B40" s="6" t="s">
        <v>79</v>
      </c>
      <c r="C40" s="308"/>
      <c r="D40" s="308"/>
      <c r="E40" s="309"/>
      <c r="F40" s="309"/>
      <c r="G40" s="308"/>
      <c r="H40" s="308"/>
      <c r="I40" s="218"/>
      <c r="J40" s="311"/>
      <c r="K40" s="311"/>
      <c r="L40" s="307"/>
      <c r="M40" s="307"/>
      <c r="N40" s="307"/>
      <c r="O40" s="307"/>
      <c r="P40" s="307"/>
      <c r="Q40" s="307"/>
      <c r="R40" s="307"/>
      <c r="S40" s="307"/>
      <c r="T40" s="307"/>
      <c r="U40" s="224"/>
    </row>
    <row r="41" spans="2:37" ht="28.5" customHeight="1">
      <c r="B41" s="6" t="s">
        <v>89</v>
      </c>
      <c r="C41" s="308">
        <v>240</v>
      </c>
      <c r="D41" s="308"/>
      <c r="E41" s="309">
        <v>0</v>
      </c>
      <c r="F41" s="309"/>
      <c r="G41" s="310">
        <f>E41-C41</f>
        <v>-240</v>
      </c>
      <c r="H41" s="310"/>
      <c r="I41" s="218"/>
      <c r="J41" s="311" t="s">
        <v>90</v>
      </c>
      <c r="K41" s="311"/>
      <c r="L41" s="307"/>
      <c r="M41" s="307"/>
      <c r="N41" s="307"/>
      <c r="O41" s="307"/>
      <c r="P41" s="307"/>
      <c r="Q41" s="307"/>
      <c r="R41" s="307"/>
      <c r="S41" s="307"/>
      <c r="T41" s="307"/>
      <c r="U41" s="224"/>
    </row>
    <row r="42" spans="2:37" ht="28.5" customHeight="1">
      <c r="B42" s="6" t="s">
        <v>91</v>
      </c>
      <c r="C42" s="308">
        <v>400</v>
      </c>
      <c r="D42" s="308"/>
      <c r="E42" s="309">
        <v>0</v>
      </c>
      <c r="F42" s="309"/>
      <c r="G42" s="310">
        <f>E42-C42</f>
        <v>-400</v>
      </c>
      <c r="H42" s="310"/>
      <c r="I42" s="218"/>
      <c r="J42" s="311"/>
      <c r="K42" s="311"/>
      <c r="L42" s="307"/>
      <c r="M42" s="307"/>
      <c r="N42" s="307"/>
      <c r="O42" s="307"/>
      <c r="P42" s="307"/>
      <c r="Q42" s="307"/>
      <c r="R42" s="307"/>
      <c r="S42" s="307"/>
      <c r="T42" s="307"/>
      <c r="U42" s="224"/>
    </row>
    <row r="43" spans="2:37" ht="28.5" customHeight="1">
      <c r="B43" s="6" t="s">
        <v>92</v>
      </c>
      <c r="C43" s="308">
        <v>180</v>
      </c>
      <c r="D43" s="308"/>
      <c r="E43" s="309">
        <v>0</v>
      </c>
      <c r="F43" s="309"/>
      <c r="G43" s="310">
        <f>E43-C43</f>
        <v>-180</v>
      </c>
      <c r="H43" s="310"/>
      <c r="I43" s="218"/>
      <c r="J43" s="311"/>
      <c r="K43" s="311"/>
      <c r="L43" s="307"/>
      <c r="M43" s="307"/>
      <c r="N43" s="307"/>
      <c r="O43" s="307"/>
      <c r="P43" s="307"/>
      <c r="Q43" s="307"/>
      <c r="R43" s="307"/>
      <c r="S43" s="307"/>
      <c r="T43" s="307"/>
      <c r="U43" s="224"/>
    </row>
    <row r="44" spans="2:37" ht="28.5" customHeight="1">
      <c r="B44" s="6"/>
      <c r="C44" s="308"/>
      <c r="D44" s="308"/>
      <c r="E44" s="309"/>
      <c r="F44" s="309"/>
      <c r="G44" s="309"/>
      <c r="H44" s="309"/>
      <c r="I44" s="218"/>
      <c r="J44" s="311"/>
      <c r="K44" s="311"/>
      <c r="L44" s="307"/>
      <c r="M44" s="307"/>
      <c r="N44" s="307"/>
      <c r="O44" s="307"/>
      <c r="P44" s="307"/>
      <c r="Q44" s="307"/>
      <c r="R44" s="307"/>
      <c r="S44" s="307"/>
      <c r="T44" s="307"/>
      <c r="U44" s="224"/>
    </row>
    <row r="45" spans="2:37" ht="21">
      <c r="B45" s="313"/>
      <c r="C45" s="313"/>
      <c r="D45" s="313"/>
      <c r="E45" s="313"/>
      <c r="F45" s="313"/>
      <c r="G45" s="313"/>
      <c r="H45" s="313"/>
      <c r="I45" s="313"/>
      <c r="J45" s="313"/>
      <c r="K45" s="313"/>
      <c r="L45" s="313"/>
      <c r="M45" s="313"/>
      <c r="N45" s="313"/>
      <c r="O45" s="313"/>
      <c r="P45" s="313"/>
      <c r="Q45" s="313"/>
      <c r="R45" s="313"/>
      <c r="S45" s="313"/>
      <c r="T45" s="313"/>
      <c r="U45" s="116">
        <f>SUM(U38:U39)</f>
        <v>50</v>
      </c>
    </row>
    <row r="46" spans="2:37" ht="21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2:37" ht="21">
      <c r="B47" s="12" t="s">
        <v>49</v>
      </c>
      <c r="C47" s="312" t="s">
        <v>36</v>
      </c>
      <c r="D47" s="312"/>
      <c r="E47" s="312" t="s">
        <v>50</v>
      </c>
      <c r="F47" s="312"/>
      <c r="G47" s="312" t="s">
        <v>28</v>
      </c>
      <c r="H47" s="312"/>
      <c r="I47" s="11" t="s">
        <v>51</v>
      </c>
      <c r="J47" s="312" t="s">
        <v>52</v>
      </c>
      <c r="K47" s="312"/>
      <c r="L47" s="313" t="s">
        <v>53</v>
      </c>
      <c r="M47" s="313"/>
      <c r="N47" s="313"/>
      <c r="O47" s="313"/>
      <c r="P47" s="313"/>
      <c r="Q47" s="313"/>
      <c r="R47" s="313"/>
      <c r="S47" s="312" t="s">
        <v>54</v>
      </c>
      <c r="T47" s="312"/>
      <c r="U47" s="3" t="s">
        <v>55</v>
      </c>
    </row>
    <row r="48" spans="2:37" ht="28.5" customHeight="1">
      <c r="B48" s="8" t="s">
        <v>41</v>
      </c>
      <c r="C48" s="148">
        <v>2254</v>
      </c>
      <c r="D48" s="148">
        <v>10</v>
      </c>
      <c r="E48" s="180">
        <f>C48</f>
        <v>2254</v>
      </c>
      <c r="F48" s="180">
        <v>10</v>
      </c>
      <c r="G48" s="310">
        <f t="shared" ref="G48:G49" si="1">E48-C48</f>
        <v>0</v>
      </c>
      <c r="H48" s="310"/>
      <c r="I48" s="216"/>
      <c r="J48" s="315"/>
      <c r="K48" s="315"/>
      <c r="L48" s="322"/>
      <c r="M48" s="322"/>
      <c r="N48" s="322"/>
      <c r="O48" s="322"/>
      <c r="P48" s="322"/>
      <c r="Q48" s="322"/>
      <c r="R48" s="322"/>
      <c r="S48" s="314"/>
      <c r="T48" s="314"/>
      <c r="U48" s="22"/>
    </row>
    <row r="49" spans="2:23" ht="41.25" customHeight="1">
      <c r="B49" s="6" t="s">
        <v>93</v>
      </c>
      <c r="C49" s="309">
        <v>300</v>
      </c>
      <c r="D49" s="309"/>
      <c r="E49" s="309">
        <v>300</v>
      </c>
      <c r="F49" s="309"/>
      <c r="G49" s="326">
        <f>E49-C49</f>
        <v>0</v>
      </c>
      <c r="H49" s="316"/>
      <c r="I49" s="218" t="s">
        <v>94</v>
      </c>
      <c r="J49" s="329" t="s">
        <v>95</v>
      </c>
      <c r="K49" s="330"/>
      <c r="L49" s="331" t="s">
        <v>96</v>
      </c>
      <c r="M49" s="332"/>
      <c r="N49" s="332"/>
      <c r="O49" s="332"/>
      <c r="P49" s="332"/>
      <c r="Q49" s="332"/>
      <c r="R49" s="332"/>
      <c r="S49" s="329" t="s">
        <v>97</v>
      </c>
      <c r="T49" s="333"/>
      <c r="U49" s="93">
        <v>20</v>
      </c>
    </row>
    <row r="50" spans="2:23" ht="36.75" customHeight="1">
      <c r="B50" s="6"/>
      <c r="C50" s="309"/>
      <c r="D50" s="309"/>
      <c r="E50" s="309"/>
      <c r="F50" s="309"/>
      <c r="G50" s="309"/>
      <c r="H50" s="309"/>
      <c r="I50" s="218"/>
      <c r="J50" s="330"/>
      <c r="K50" s="330"/>
      <c r="L50" s="332"/>
      <c r="M50" s="332"/>
      <c r="N50" s="332"/>
      <c r="O50" s="332"/>
      <c r="P50" s="332"/>
      <c r="Q50" s="332"/>
      <c r="R50" s="332"/>
      <c r="S50" s="333"/>
      <c r="T50" s="333"/>
      <c r="U50" s="93"/>
    </row>
    <row r="51" spans="2:23" ht="21">
      <c r="B51" s="313" t="s">
        <v>82</v>
      </c>
      <c r="C51" s="313"/>
      <c r="D51" s="313"/>
      <c r="E51" s="313"/>
      <c r="F51" s="313"/>
      <c r="G51" s="313"/>
      <c r="H51" s="313"/>
      <c r="I51" s="313"/>
      <c r="J51" s="313"/>
      <c r="K51" s="313"/>
      <c r="L51" s="313"/>
      <c r="M51" s="313"/>
      <c r="N51" s="313"/>
      <c r="O51" s="313"/>
      <c r="P51" s="313"/>
      <c r="Q51" s="313"/>
      <c r="R51" s="313"/>
      <c r="S51" s="313"/>
      <c r="T51" s="313"/>
      <c r="U51" s="116">
        <f>SUM(U48:U50)</f>
        <v>20</v>
      </c>
    </row>
    <row r="52" spans="2:23" ht="21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1"/>
    </row>
    <row r="53" spans="2:23" ht="21">
      <c r="B53" s="12" t="s">
        <v>49</v>
      </c>
      <c r="C53" s="312" t="s">
        <v>36</v>
      </c>
      <c r="D53" s="312"/>
      <c r="E53" s="312" t="s">
        <v>50</v>
      </c>
      <c r="F53" s="312"/>
      <c r="G53" s="312" t="s">
        <v>28</v>
      </c>
      <c r="H53" s="312"/>
      <c r="I53" s="223" t="s">
        <v>51</v>
      </c>
      <c r="J53" s="327" t="s">
        <v>52</v>
      </c>
      <c r="K53" s="327"/>
      <c r="L53" s="386" t="s">
        <v>53</v>
      </c>
      <c r="M53" s="386"/>
      <c r="N53" s="386"/>
      <c r="O53" s="386"/>
      <c r="P53" s="386"/>
      <c r="Q53" s="386"/>
      <c r="R53" s="386"/>
      <c r="S53" s="327" t="s">
        <v>54</v>
      </c>
      <c r="T53" s="327"/>
      <c r="U53" s="222" t="s">
        <v>55</v>
      </c>
    </row>
    <row r="54" spans="2:23" ht="28.5" customHeight="1">
      <c r="B54" s="8" t="s">
        <v>42</v>
      </c>
      <c r="C54" s="148">
        <v>5670</v>
      </c>
      <c r="D54" s="148">
        <v>13</v>
      </c>
      <c r="E54" s="180">
        <f>C54-1000</f>
        <v>4670</v>
      </c>
      <c r="F54" s="180">
        <v>12</v>
      </c>
      <c r="G54" s="310">
        <f>E54-C54</f>
        <v>-1000</v>
      </c>
      <c r="H54" s="310"/>
      <c r="I54" s="226"/>
      <c r="J54" s="320"/>
      <c r="K54" s="320"/>
      <c r="L54" s="323"/>
      <c r="M54" s="323"/>
      <c r="N54" s="323"/>
      <c r="O54" s="323"/>
      <c r="P54" s="323"/>
      <c r="Q54" s="323"/>
      <c r="R54" s="323"/>
      <c r="S54" s="321"/>
      <c r="T54" s="321"/>
      <c r="U54" s="226"/>
    </row>
    <row r="55" spans="2:23" ht="28.5" customHeight="1">
      <c r="B55" s="225" t="s">
        <v>98</v>
      </c>
      <c r="C55" s="308">
        <v>300</v>
      </c>
      <c r="D55" s="308"/>
      <c r="E55" s="309">
        <v>300</v>
      </c>
      <c r="F55" s="309"/>
      <c r="G55" s="326">
        <f>E55-C55</f>
        <v>0</v>
      </c>
      <c r="H55" s="316"/>
      <c r="I55" s="218" t="s">
        <v>62</v>
      </c>
      <c r="J55" s="324" t="s">
        <v>99</v>
      </c>
      <c r="K55" s="324"/>
      <c r="L55" s="325" t="s">
        <v>100</v>
      </c>
      <c r="M55" s="325"/>
      <c r="N55" s="325"/>
      <c r="O55" s="325"/>
      <c r="P55" s="325"/>
      <c r="Q55" s="325"/>
      <c r="R55" s="325"/>
      <c r="S55" s="325" t="s">
        <v>101</v>
      </c>
      <c r="T55" s="325"/>
      <c r="U55" s="218">
        <v>10</v>
      </c>
    </row>
    <row r="56" spans="2:23" ht="28.5" customHeight="1">
      <c r="B56" s="225" t="s">
        <v>102</v>
      </c>
      <c r="C56" s="308">
        <v>300</v>
      </c>
      <c r="D56" s="308"/>
      <c r="E56" s="309">
        <v>300</v>
      </c>
      <c r="F56" s="309"/>
      <c r="G56" s="326">
        <f t="shared" ref="G56:G58" si="2">E56-C56</f>
        <v>0</v>
      </c>
      <c r="H56" s="316"/>
      <c r="I56" s="218" t="s">
        <v>62</v>
      </c>
      <c r="J56" s="324" t="s">
        <v>103</v>
      </c>
      <c r="K56" s="324"/>
      <c r="L56" s="325" t="s">
        <v>100</v>
      </c>
      <c r="M56" s="325"/>
      <c r="N56" s="325"/>
      <c r="O56" s="325"/>
      <c r="P56" s="325"/>
      <c r="Q56" s="325"/>
      <c r="R56" s="325"/>
      <c r="S56" s="325" t="s">
        <v>104</v>
      </c>
      <c r="T56" s="325"/>
      <c r="U56" s="218">
        <v>15</v>
      </c>
    </row>
    <row r="57" spans="2:23" ht="28.5" customHeight="1">
      <c r="B57" s="225" t="s">
        <v>105</v>
      </c>
      <c r="C57" s="308">
        <v>360</v>
      </c>
      <c r="D57" s="308"/>
      <c r="E57" s="309">
        <v>360</v>
      </c>
      <c r="F57" s="309"/>
      <c r="G57" s="326">
        <f t="shared" si="2"/>
        <v>0</v>
      </c>
      <c r="H57" s="316"/>
      <c r="I57" s="218" t="s">
        <v>57</v>
      </c>
      <c r="J57" s="324" t="s">
        <v>106</v>
      </c>
      <c r="K57" s="324"/>
      <c r="L57" s="325" t="s">
        <v>107</v>
      </c>
      <c r="M57" s="325"/>
      <c r="N57" s="325"/>
      <c r="O57" s="325"/>
      <c r="P57" s="325"/>
      <c r="Q57" s="325"/>
      <c r="R57" s="325"/>
      <c r="S57" s="325" t="s">
        <v>108</v>
      </c>
      <c r="T57" s="325"/>
      <c r="U57" s="218">
        <v>30</v>
      </c>
    </row>
    <row r="58" spans="2:23" ht="28.5" customHeight="1">
      <c r="B58" s="225" t="s">
        <v>105</v>
      </c>
      <c r="C58" s="308">
        <v>360</v>
      </c>
      <c r="D58" s="308"/>
      <c r="E58" s="309">
        <v>360</v>
      </c>
      <c r="F58" s="309"/>
      <c r="G58" s="326">
        <f t="shared" si="2"/>
        <v>0</v>
      </c>
      <c r="H58" s="316"/>
      <c r="I58" s="218" t="s">
        <v>62</v>
      </c>
      <c r="J58" s="324" t="s">
        <v>109</v>
      </c>
      <c r="K58" s="324"/>
      <c r="L58" s="325" t="s">
        <v>100</v>
      </c>
      <c r="M58" s="325"/>
      <c r="N58" s="325"/>
      <c r="O58" s="325"/>
      <c r="P58" s="325"/>
      <c r="Q58" s="325"/>
      <c r="R58" s="325"/>
      <c r="S58" s="325" t="s">
        <v>110</v>
      </c>
      <c r="T58" s="325"/>
      <c r="U58" s="218">
        <v>11</v>
      </c>
    </row>
    <row r="59" spans="2:23" ht="28.5" customHeight="1">
      <c r="B59" s="225" t="s">
        <v>79</v>
      </c>
      <c r="C59" s="308"/>
      <c r="D59" s="308"/>
      <c r="E59" s="309"/>
      <c r="F59" s="309"/>
      <c r="G59" s="310"/>
      <c r="H59" s="310"/>
      <c r="I59" s="218"/>
      <c r="J59" s="324"/>
      <c r="K59" s="324"/>
      <c r="L59" s="325"/>
      <c r="M59" s="325"/>
      <c r="N59" s="325"/>
      <c r="O59" s="325"/>
      <c r="P59" s="325"/>
      <c r="Q59" s="325"/>
      <c r="R59" s="325"/>
      <c r="S59" s="325"/>
      <c r="T59" s="325"/>
      <c r="U59" s="218"/>
    </row>
    <row r="60" spans="2:23" ht="28.5" customHeight="1">
      <c r="B60" s="225" t="s">
        <v>111</v>
      </c>
      <c r="C60" s="308">
        <v>500</v>
      </c>
      <c r="D60" s="308"/>
      <c r="E60" s="309">
        <v>0</v>
      </c>
      <c r="F60" s="309"/>
      <c r="G60" s="310">
        <f>E60-C60</f>
        <v>-500</v>
      </c>
      <c r="H60" s="310"/>
      <c r="I60" s="218"/>
      <c r="J60" s="324"/>
      <c r="K60" s="324"/>
      <c r="L60" s="325"/>
      <c r="M60" s="325"/>
      <c r="N60" s="325"/>
      <c r="O60" s="325"/>
      <c r="P60" s="325"/>
      <c r="Q60" s="325"/>
      <c r="R60" s="325"/>
      <c r="S60" s="325"/>
      <c r="T60" s="325"/>
      <c r="U60" s="218"/>
    </row>
    <row r="61" spans="2:23" ht="28.5" customHeight="1">
      <c r="B61" s="225" t="s">
        <v>112</v>
      </c>
      <c r="C61" s="308">
        <v>500</v>
      </c>
      <c r="D61" s="308"/>
      <c r="E61" s="309">
        <v>0</v>
      </c>
      <c r="F61" s="309"/>
      <c r="G61" s="310">
        <f>E61-C61</f>
        <v>-500</v>
      </c>
      <c r="H61" s="310"/>
      <c r="I61" s="218"/>
      <c r="J61" s="324"/>
      <c r="K61" s="324"/>
      <c r="L61" s="325"/>
      <c r="M61" s="325"/>
      <c r="N61" s="325"/>
      <c r="O61" s="325"/>
      <c r="P61" s="325"/>
      <c r="Q61" s="325"/>
      <c r="R61" s="325"/>
      <c r="S61" s="325"/>
      <c r="T61" s="325"/>
      <c r="U61" s="218"/>
    </row>
    <row r="62" spans="2:23" ht="28.5" customHeight="1">
      <c r="B62" s="225"/>
      <c r="C62" s="308"/>
      <c r="D62" s="308"/>
      <c r="E62" s="309"/>
      <c r="F62" s="309"/>
      <c r="G62" s="309"/>
      <c r="H62" s="309"/>
      <c r="I62" s="218"/>
      <c r="J62" s="324"/>
      <c r="K62" s="324"/>
      <c r="L62" s="325"/>
      <c r="M62" s="325"/>
      <c r="N62" s="325"/>
      <c r="O62" s="325"/>
      <c r="P62" s="325"/>
      <c r="Q62" s="325"/>
      <c r="R62" s="325"/>
      <c r="S62" s="325"/>
      <c r="T62" s="325"/>
      <c r="U62" s="218"/>
    </row>
    <row r="63" spans="2:23" ht="21">
      <c r="B63" s="400"/>
      <c r="C63" s="400"/>
      <c r="D63" s="400"/>
      <c r="E63" s="400"/>
      <c r="F63" s="400"/>
      <c r="G63" s="400"/>
      <c r="H63" s="400"/>
      <c r="I63" s="400"/>
      <c r="J63" s="400"/>
      <c r="K63" s="400"/>
      <c r="L63" s="400"/>
      <c r="M63" s="400"/>
      <c r="N63" s="400"/>
      <c r="O63" s="400"/>
      <c r="P63" s="400"/>
      <c r="Q63" s="400"/>
      <c r="R63" s="400"/>
      <c r="S63" s="400"/>
      <c r="T63" s="400"/>
      <c r="U63" s="116">
        <f>SUM(U55:U58)</f>
        <v>66</v>
      </c>
    </row>
    <row r="64" spans="2:23" ht="21">
      <c r="B64" s="10"/>
      <c r="C64" s="10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2:35" ht="21">
      <c r="B65" s="328" t="s">
        <v>113</v>
      </c>
      <c r="C65" s="328"/>
      <c r="D65" s="328"/>
    </row>
    <row r="66" spans="2:35" ht="21">
      <c r="B66" s="12" t="s">
        <v>49</v>
      </c>
      <c r="C66" s="312" t="s">
        <v>36</v>
      </c>
      <c r="D66" s="312"/>
      <c r="E66" s="312" t="s">
        <v>50</v>
      </c>
      <c r="F66" s="312"/>
      <c r="G66" s="312" t="s">
        <v>28</v>
      </c>
      <c r="H66" s="312"/>
      <c r="I66" s="11" t="s">
        <v>51</v>
      </c>
      <c r="J66" s="312" t="s">
        <v>52</v>
      </c>
      <c r="K66" s="312"/>
      <c r="L66" s="313" t="s">
        <v>53</v>
      </c>
      <c r="M66" s="313"/>
      <c r="N66" s="313"/>
      <c r="O66" s="313"/>
      <c r="P66" s="313"/>
      <c r="Q66" s="313"/>
      <c r="R66" s="313"/>
      <c r="S66" s="312" t="s">
        <v>54</v>
      </c>
      <c r="T66" s="312"/>
      <c r="U66" s="3" t="s">
        <v>55</v>
      </c>
    </row>
    <row r="67" spans="2:35" ht="28.5" customHeight="1">
      <c r="B67" s="8" t="s">
        <v>37</v>
      </c>
      <c r="C67" s="148">
        <v>3725</v>
      </c>
      <c r="D67" s="148">
        <v>11</v>
      </c>
      <c r="E67" s="180">
        <f>C67-300-400-300-225-300</f>
        <v>2200</v>
      </c>
      <c r="F67" s="180">
        <v>7</v>
      </c>
      <c r="G67" s="310">
        <f>E67-C67</f>
        <v>-1525</v>
      </c>
      <c r="H67" s="310"/>
      <c r="I67" s="22"/>
      <c r="J67" s="315"/>
      <c r="K67" s="315"/>
      <c r="L67" s="322"/>
      <c r="M67" s="322"/>
      <c r="N67" s="322"/>
      <c r="O67" s="322"/>
      <c r="P67" s="322"/>
      <c r="Q67" s="322"/>
      <c r="R67" s="322"/>
      <c r="S67" s="314"/>
      <c r="T67" s="314"/>
      <c r="U67" s="22"/>
    </row>
    <row r="68" spans="2:35" ht="39.75" customHeight="1">
      <c r="B68" s="217" t="s">
        <v>114</v>
      </c>
      <c r="C68" s="308"/>
      <c r="D68" s="308"/>
      <c r="E68" s="309"/>
      <c r="F68" s="309"/>
      <c r="G68" s="310">
        <f t="shared" ref="G68" si="3">E68-C68</f>
        <v>0</v>
      </c>
      <c r="H68" s="310"/>
      <c r="I68" s="93" t="s">
        <v>62</v>
      </c>
      <c r="J68" s="383" t="s">
        <v>115</v>
      </c>
      <c r="K68" s="383"/>
      <c r="L68" s="317" t="s">
        <v>116</v>
      </c>
      <c r="M68" s="317"/>
      <c r="N68" s="317"/>
      <c r="O68" s="317"/>
      <c r="P68" s="317"/>
      <c r="Q68" s="317"/>
      <c r="R68" s="317"/>
      <c r="S68" s="325" t="s">
        <v>117</v>
      </c>
      <c r="T68" s="325"/>
      <c r="U68" s="215">
        <v>57</v>
      </c>
      <c r="X68" s="198"/>
      <c r="Y68" s="198"/>
      <c r="Z68" s="198"/>
      <c r="AA68" s="198"/>
      <c r="AB68" s="198"/>
      <c r="AC68" s="198"/>
      <c r="AD68" s="198"/>
      <c r="AE68" s="198"/>
      <c r="AF68" s="198"/>
      <c r="AG68" s="198"/>
      <c r="AH68" s="198"/>
      <c r="AI68" s="198"/>
    </row>
    <row r="69" spans="2:35" ht="39.75" customHeight="1">
      <c r="B69" s="217" t="s">
        <v>118</v>
      </c>
      <c r="C69" s="308"/>
      <c r="D69" s="308"/>
      <c r="E69" s="309"/>
      <c r="F69" s="309"/>
      <c r="G69" s="310">
        <f>E69-C69</f>
        <v>0</v>
      </c>
      <c r="H69" s="310"/>
      <c r="I69" s="93" t="s">
        <v>57</v>
      </c>
      <c r="J69" s="383" t="s">
        <v>119</v>
      </c>
      <c r="K69" s="383"/>
      <c r="L69" s="317"/>
      <c r="M69" s="317"/>
      <c r="N69" s="317"/>
      <c r="O69" s="317"/>
      <c r="P69" s="317"/>
      <c r="Q69" s="317"/>
      <c r="R69" s="317"/>
      <c r="S69" s="325"/>
      <c r="T69" s="325"/>
      <c r="U69" s="215">
        <v>20</v>
      </c>
      <c r="X69" s="198"/>
      <c r="Y69" s="198"/>
      <c r="Z69" s="198"/>
      <c r="AA69" s="198"/>
      <c r="AB69" s="198"/>
      <c r="AC69" s="198"/>
      <c r="AD69" s="198"/>
      <c r="AE69" s="198"/>
      <c r="AF69" s="198"/>
      <c r="AG69" s="198"/>
      <c r="AH69" s="198"/>
      <c r="AI69" s="198"/>
    </row>
    <row r="70" spans="2:35" ht="30.75" customHeight="1">
      <c r="B70" s="6" t="s">
        <v>79</v>
      </c>
      <c r="C70" s="309"/>
      <c r="D70" s="388"/>
      <c r="E70" s="309"/>
      <c r="F70" s="309"/>
      <c r="G70" s="310"/>
      <c r="H70" s="310"/>
      <c r="I70" s="93"/>
      <c r="J70" s="385"/>
      <c r="K70" s="385"/>
      <c r="L70" s="408"/>
      <c r="M70" s="425"/>
      <c r="N70" s="425"/>
      <c r="O70" s="425"/>
      <c r="P70" s="425"/>
      <c r="Q70" s="425"/>
      <c r="R70" s="426"/>
      <c r="S70" s="304"/>
      <c r="T70" s="421"/>
      <c r="U70" s="22"/>
    </row>
    <row r="71" spans="2:35" ht="30.75" customHeight="1">
      <c r="B71" s="6" t="s">
        <v>120</v>
      </c>
      <c r="C71" s="309">
        <v>300</v>
      </c>
      <c r="D71" s="388"/>
      <c r="E71" s="309">
        <v>0</v>
      </c>
      <c r="F71" s="309"/>
      <c r="G71" s="310">
        <f>E71-C71</f>
        <v>-300</v>
      </c>
      <c r="H71" s="310"/>
      <c r="I71" s="93"/>
      <c r="J71" s="385" t="s">
        <v>121</v>
      </c>
      <c r="K71" s="385"/>
      <c r="L71" s="408"/>
      <c r="M71" s="425"/>
      <c r="N71" s="425"/>
      <c r="O71" s="425"/>
      <c r="P71" s="425"/>
      <c r="Q71" s="425"/>
      <c r="R71" s="426"/>
      <c r="S71" s="304"/>
      <c r="T71" s="421"/>
      <c r="U71" s="22">
        <v>90</v>
      </c>
    </row>
    <row r="72" spans="2:35" ht="30.75" customHeight="1">
      <c r="B72" s="6" t="s">
        <v>122</v>
      </c>
      <c r="C72" s="309">
        <v>400</v>
      </c>
      <c r="D72" s="388"/>
      <c r="E72" s="309">
        <v>0</v>
      </c>
      <c r="F72" s="309"/>
      <c r="G72" s="310">
        <f>E72-C72</f>
        <v>-400</v>
      </c>
      <c r="H72" s="310"/>
      <c r="I72" s="93"/>
      <c r="J72" s="385"/>
      <c r="K72" s="385"/>
      <c r="L72" s="408"/>
      <c r="M72" s="425"/>
      <c r="N72" s="425"/>
      <c r="O72" s="425"/>
      <c r="P72" s="425"/>
      <c r="Q72" s="425"/>
      <c r="R72" s="426"/>
      <c r="S72" s="304"/>
      <c r="T72" s="421"/>
      <c r="U72" s="22"/>
    </row>
    <row r="73" spans="2:35" ht="30.75" customHeight="1">
      <c r="B73" s="6" t="s">
        <v>123</v>
      </c>
      <c r="C73" s="309">
        <v>300</v>
      </c>
      <c r="D73" s="388"/>
      <c r="E73" s="309">
        <v>0</v>
      </c>
      <c r="F73" s="309"/>
      <c r="G73" s="310">
        <f>E73-C73</f>
        <v>-300</v>
      </c>
      <c r="H73" s="310"/>
      <c r="I73" s="93"/>
      <c r="J73" s="385"/>
      <c r="K73" s="385"/>
      <c r="L73" s="408"/>
      <c r="M73" s="425"/>
      <c r="N73" s="425"/>
      <c r="O73" s="425"/>
      <c r="P73" s="425"/>
      <c r="Q73" s="425"/>
      <c r="R73" s="426"/>
      <c r="S73" s="304"/>
      <c r="T73" s="421"/>
      <c r="U73" s="22"/>
    </row>
    <row r="74" spans="2:35" ht="30.75" customHeight="1">
      <c r="B74" s="6" t="s">
        <v>124</v>
      </c>
      <c r="C74" s="309">
        <v>225</v>
      </c>
      <c r="D74" s="388"/>
      <c r="E74" s="309">
        <v>0</v>
      </c>
      <c r="F74" s="309"/>
      <c r="G74" s="310">
        <f>E74-C74</f>
        <v>-225</v>
      </c>
      <c r="H74" s="310"/>
      <c r="I74" s="93"/>
      <c r="J74" s="385"/>
      <c r="K74" s="385"/>
      <c r="L74" s="408"/>
      <c r="M74" s="425"/>
      <c r="N74" s="425"/>
      <c r="O74" s="425"/>
      <c r="P74" s="425"/>
      <c r="Q74" s="425"/>
      <c r="R74" s="426"/>
      <c r="S74" s="304"/>
      <c r="T74" s="421"/>
      <c r="U74" s="22"/>
    </row>
    <row r="75" spans="2:35" ht="30.75" customHeight="1">
      <c r="B75" s="6" t="s">
        <v>125</v>
      </c>
      <c r="C75" s="309">
        <v>300</v>
      </c>
      <c r="D75" s="388"/>
      <c r="E75" s="309">
        <v>0</v>
      </c>
      <c r="F75" s="309"/>
      <c r="G75" s="310">
        <f>E75-C75</f>
        <v>-300</v>
      </c>
      <c r="H75" s="310"/>
      <c r="I75" s="93"/>
      <c r="J75" s="385"/>
      <c r="K75" s="385"/>
      <c r="L75" s="408"/>
      <c r="M75" s="425"/>
      <c r="N75" s="425"/>
      <c r="O75" s="425"/>
      <c r="P75" s="425"/>
      <c r="Q75" s="425"/>
      <c r="R75" s="426"/>
      <c r="S75" s="304"/>
      <c r="T75" s="421"/>
      <c r="U75" s="22"/>
    </row>
    <row r="76" spans="2:35" ht="39.75" customHeight="1">
      <c r="B76" s="217"/>
      <c r="C76" s="308"/>
      <c r="D76" s="308"/>
      <c r="E76" s="309"/>
      <c r="F76" s="309"/>
      <c r="G76" s="309"/>
      <c r="H76" s="309"/>
      <c r="I76" s="93"/>
      <c r="J76" s="383"/>
      <c r="K76" s="383"/>
      <c r="L76" s="317"/>
      <c r="M76" s="317"/>
      <c r="N76" s="317"/>
      <c r="O76" s="317"/>
      <c r="P76" s="317"/>
      <c r="Q76" s="317"/>
      <c r="R76" s="317"/>
      <c r="S76" s="408"/>
      <c r="T76" s="408"/>
      <c r="U76" s="215"/>
      <c r="X76" s="198"/>
      <c r="Y76" s="198"/>
      <c r="Z76" s="198"/>
      <c r="AA76" s="198"/>
      <c r="AB76" s="198"/>
      <c r="AC76" s="198"/>
      <c r="AD76" s="198"/>
      <c r="AE76" s="198"/>
      <c r="AF76" s="198"/>
      <c r="AG76" s="198"/>
      <c r="AH76" s="198"/>
      <c r="AI76" s="198"/>
    </row>
    <row r="77" spans="2:35" ht="21">
      <c r="B77" s="400"/>
      <c r="C77" s="400"/>
      <c r="D77" s="400"/>
      <c r="E77" s="400"/>
      <c r="F77" s="400"/>
      <c r="G77" s="400"/>
      <c r="H77" s="400"/>
      <c r="I77" s="400"/>
      <c r="J77" s="400"/>
      <c r="K77" s="400"/>
      <c r="L77" s="400"/>
      <c r="M77" s="400"/>
      <c r="N77" s="400"/>
      <c r="O77" s="400"/>
      <c r="P77" s="400"/>
      <c r="Q77" s="400"/>
      <c r="R77" s="400"/>
      <c r="S77" s="400"/>
      <c r="T77" s="400"/>
      <c r="U77" s="116">
        <f>SUM(U68:U76)</f>
        <v>167</v>
      </c>
    </row>
    <row r="78" spans="2:35" ht="21"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9"/>
    </row>
    <row r="79" spans="2:35" ht="21">
      <c r="B79" s="12" t="s">
        <v>49</v>
      </c>
      <c r="C79" s="312" t="s">
        <v>36</v>
      </c>
      <c r="D79" s="312"/>
      <c r="E79" s="312" t="s">
        <v>50</v>
      </c>
      <c r="F79" s="312"/>
      <c r="G79" s="312" t="s">
        <v>28</v>
      </c>
      <c r="H79" s="312"/>
      <c r="I79" s="11" t="s">
        <v>51</v>
      </c>
      <c r="J79" s="312" t="s">
        <v>52</v>
      </c>
      <c r="K79" s="312"/>
      <c r="L79" s="313" t="s">
        <v>53</v>
      </c>
      <c r="M79" s="313"/>
      <c r="N79" s="313"/>
      <c r="O79" s="313"/>
      <c r="P79" s="313"/>
      <c r="Q79" s="313"/>
      <c r="R79" s="313"/>
      <c r="S79" s="312" t="s">
        <v>54</v>
      </c>
      <c r="T79" s="312"/>
      <c r="U79" s="3" t="s">
        <v>55</v>
      </c>
    </row>
    <row r="80" spans="2:35" ht="28.5" customHeight="1">
      <c r="B80" s="185" t="s">
        <v>40</v>
      </c>
      <c r="C80" s="180">
        <v>8916</v>
      </c>
      <c r="D80" s="180">
        <v>22</v>
      </c>
      <c r="E80" s="180">
        <f>C80-120-120-300-300-600-800-360</f>
        <v>6316</v>
      </c>
      <c r="F80" s="180">
        <v>18</v>
      </c>
      <c r="G80" s="310">
        <f>E80-C80</f>
        <v>-2600</v>
      </c>
      <c r="H80" s="310"/>
      <c r="I80" s="94"/>
      <c r="J80" s="383"/>
      <c r="K80" s="383"/>
      <c r="L80" s="420"/>
      <c r="M80" s="420"/>
      <c r="N80" s="420"/>
      <c r="O80" s="420"/>
      <c r="P80" s="420"/>
      <c r="Q80" s="420"/>
      <c r="R80" s="420"/>
      <c r="S80" s="307"/>
      <c r="T80" s="307"/>
      <c r="U80" s="93"/>
    </row>
    <row r="81" spans="2:23" ht="30.75" customHeight="1">
      <c r="B81" s="6" t="s">
        <v>126</v>
      </c>
      <c r="C81" s="309">
        <v>240</v>
      </c>
      <c r="D81" s="388"/>
      <c r="E81" s="309">
        <v>240</v>
      </c>
      <c r="F81" s="309"/>
      <c r="G81" s="310">
        <f>E81-C81</f>
        <v>0</v>
      </c>
      <c r="H81" s="310"/>
      <c r="I81" s="93" t="s">
        <v>57</v>
      </c>
      <c r="J81" s="383" t="s">
        <v>127</v>
      </c>
      <c r="K81" s="384"/>
      <c r="L81" s="317" t="s">
        <v>128</v>
      </c>
      <c r="M81" s="318"/>
      <c r="N81" s="318"/>
      <c r="O81" s="318"/>
      <c r="P81" s="318"/>
      <c r="Q81" s="318"/>
      <c r="R81" s="319"/>
      <c r="S81" s="325" t="s">
        <v>129</v>
      </c>
      <c r="T81" s="325"/>
      <c r="U81" s="93">
        <v>10</v>
      </c>
      <c r="W81" t="s">
        <v>130</v>
      </c>
    </row>
    <row r="82" spans="2:23" ht="30.75" customHeight="1">
      <c r="B82" s="6" t="s">
        <v>131</v>
      </c>
      <c r="C82" s="309">
        <v>240</v>
      </c>
      <c r="D82" s="388"/>
      <c r="E82" s="309">
        <v>120</v>
      </c>
      <c r="F82" s="309"/>
      <c r="G82" s="310">
        <f>E82-C82</f>
        <v>-120</v>
      </c>
      <c r="H82" s="310"/>
      <c r="I82" s="93" t="s">
        <v>67</v>
      </c>
      <c r="J82" s="385" t="s">
        <v>132</v>
      </c>
      <c r="K82" s="385"/>
      <c r="L82" s="317" t="s">
        <v>133</v>
      </c>
      <c r="M82" s="318"/>
      <c r="N82" s="318"/>
      <c r="O82" s="318"/>
      <c r="P82" s="318"/>
      <c r="Q82" s="318"/>
      <c r="R82" s="319"/>
      <c r="S82" s="304" t="s">
        <v>134</v>
      </c>
      <c r="T82" s="421"/>
      <c r="U82" s="93">
        <v>10</v>
      </c>
    </row>
    <row r="83" spans="2:23" ht="30.75" customHeight="1">
      <c r="B83" s="6" t="s">
        <v>135</v>
      </c>
      <c r="C83" s="309">
        <v>240</v>
      </c>
      <c r="D83" s="388"/>
      <c r="E83" s="309">
        <v>120</v>
      </c>
      <c r="F83" s="309"/>
      <c r="G83" s="310">
        <f>E83-C83</f>
        <v>-120</v>
      </c>
      <c r="H83" s="310"/>
      <c r="I83" s="93" t="s">
        <v>67</v>
      </c>
      <c r="J83" s="385" t="s">
        <v>136</v>
      </c>
      <c r="K83" s="385"/>
      <c r="L83" s="317" t="s">
        <v>69</v>
      </c>
      <c r="M83" s="318"/>
      <c r="N83" s="318"/>
      <c r="O83" s="318"/>
      <c r="P83" s="318"/>
      <c r="Q83" s="318"/>
      <c r="R83" s="319"/>
      <c r="S83" s="304" t="s">
        <v>137</v>
      </c>
      <c r="T83" s="421"/>
      <c r="U83" s="22">
        <v>45</v>
      </c>
    </row>
    <row r="84" spans="2:23" ht="30.75" customHeight="1">
      <c r="B84" s="6" t="s">
        <v>79</v>
      </c>
      <c r="C84" s="309"/>
      <c r="D84" s="388"/>
      <c r="E84" s="309"/>
      <c r="F84" s="309"/>
      <c r="G84" s="310">
        <f>E84-C84</f>
        <v>0</v>
      </c>
      <c r="H84" s="310"/>
      <c r="I84" s="93"/>
      <c r="J84" s="385"/>
      <c r="K84" s="422"/>
      <c r="L84" s="317"/>
      <c r="M84" s="318"/>
      <c r="N84" s="318"/>
      <c r="O84" s="318"/>
      <c r="P84" s="318"/>
      <c r="Q84" s="318"/>
      <c r="R84" s="319"/>
      <c r="S84" s="304"/>
      <c r="T84" s="421"/>
      <c r="U84" s="93"/>
    </row>
    <row r="85" spans="2:23" ht="30.75" customHeight="1">
      <c r="B85" s="6" t="s">
        <v>138</v>
      </c>
      <c r="C85" s="309">
        <v>300</v>
      </c>
      <c r="D85" s="388"/>
      <c r="E85" s="309">
        <v>0</v>
      </c>
      <c r="F85" s="309"/>
      <c r="G85" s="310">
        <f>E85-C85</f>
        <v>-300</v>
      </c>
      <c r="H85" s="310"/>
      <c r="I85" s="93"/>
      <c r="J85" s="383" t="s">
        <v>139</v>
      </c>
      <c r="K85" s="384"/>
      <c r="L85" s="317"/>
      <c r="M85" s="318"/>
      <c r="N85" s="318"/>
      <c r="O85" s="318"/>
      <c r="P85" s="318"/>
      <c r="Q85" s="318"/>
      <c r="R85" s="319"/>
      <c r="S85" s="325"/>
      <c r="T85" s="325"/>
      <c r="U85" s="93">
        <v>75</v>
      </c>
    </row>
    <row r="86" spans="2:23" ht="30.75" customHeight="1">
      <c r="B86" s="6" t="s">
        <v>140</v>
      </c>
      <c r="C86" s="309">
        <v>300</v>
      </c>
      <c r="D86" s="388"/>
      <c r="E86" s="309">
        <v>0</v>
      </c>
      <c r="F86" s="309"/>
      <c r="G86" s="310">
        <f>E86-C86</f>
        <v>-300</v>
      </c>
      <c r="H86" s="310"/>
      <c r="I86" s="93"/>
      <c r="J86" s="383"/>
      <c r="K86" s="384"/>
      <c r="L86" s="317"/>
      <c r="M86" s="318"/>
      <c r="N86" s="318"/>
      <c r="O86" s="318"/>
      <c r="P86" s="318"/>
      <c r="Q86" s="318"/>
      <c r="R86" s="319"/>
      <c r="S86" s="325"/>
      <c r="T86" s="325"/>
      <c r="U86" s="93"/>
    </row>
    <row r="87" spans="2:23" ht="30.75" customHeight="1">
      <c r="B87" s="6" t="s">
        <v>141</v>
      </c>
      <c r="C87" s="309">
        <v>600</v>
      </c>
      <c r="D87" s="388"/>
      <c r="E87" s="309">
        <v>0</v>
      </c>
      <c r="F87" s="309"/>
      <c r="G87" s="310">
        <f>E87-C87</f>
        <v>-600</v>
      </c>
      <c r="H87" s="310"/>
      <c r="I87" s="93"/>
      <c r="J87" s="383"/>
      <c r="K87" s="384"/>
      <c r="L87" s="317"/>
      <c r="M87" s="318"/>
      <c r="N87" s="318"/>
      <c r="O87" s="318"/>
      <c r="P87" s="318"/>
      <c r="Q87" s="318"/>
      <c r="R87" s="319"/>
      <c r="S87" s="325"/>
      <c r="T87" s="325"/>
      <c r="U87" s="93"/>
    </row>
    <row r="88" spans="2:23" ht="30.75" customHeight="1">
      <c r="B88" s="6" t="s">
        <v>142</v>
      </c>
      <c r="C88" s="309">
        <v>800</v>
      </c>
      <c r="D88" s="388"/>
      <c r="E88" s="309">
        <v>0</v>
      </c>
      <c r="F88" s="309"/>
      <c r="G88" s="310">
        <f>E88-C88</f>
        <v>-800</v>
      </c>
      <c r="H88" s="310"/>
      <c r="I88" s="93"/>
      <c r="J88" s="385"/>
      <c r="K88" s="385"/>
      <c r="L88" s="408"/>
      <c r="M88" s="425"/>
      <c r="N88" s="425"/>
      <c r="O88" s="425"/>
      <c r="P88" s="425"/>
      <c r="Q88" s="425"/>
      <c r="R88" s="426"/>
      <c r="S88" s="304"/>
      <c r="T88" s="421"/>
      <c r="U88" s="22"/>
    </row>
    <row r="89" spans="2:23" ht="30.75" customHeight="1">
      <c r="B89" s="6" t="s">
        <v>143</v>
      </c>
      <c r="C89" s="309">
        <v>360</v>
      </c>
      <c r="D89" s="388"/>
      <c r="E89" s="309">
        <v>0</v>
      </c>
      <c r="F89" s="309"/>
      <c r="G89" s="310">
        <f>E89-C89</f>
        <v>-360</v>
      </c>
      <c r="H89" s="310"/>
      <c r="I89" s="93"/>
      <c r="J89" s="385"/>
      <c r="K89" s="385"/>
      <c r="L89" s="408"/>
      <c r="M89" s="425"/>
      <c r="N89" s="425"/>
      <c r="O89" s="425"/>
      <c r="P89" s="425"/>
      <c r="Q89" s="425"/>
      <c r="R89" s="426"/>
      <c r="S89" s="304"/>
      <c r="T89" s="421"/>
      <c r="U89" s="22"/>
    </row>
    <row r="90" spans="2:23" ht="30.75" customHeight="1">
      <c r="B90" s="6"/>
      <c r="C90" s="309"/>
      <c r="D90" s="388"/>
      <c r="E90" s="309"/>
      <c r="F90" s="309"/>
      <c r="G90" s="310"/>
      <c r="H90" s="310"/>
      <c r="I90" s="93"/>
      <c r="J90" s="385"/>
      <c r="K90" s="385"/>
      <c r="L90" s="408"/>
      <c r="M90" s="425"/>
      <c r="N90" s="425"/>
      <c r="O90" s="425"/>
      <c r="P90" s="425"/>
      <c r="Q90" s="425"/>
      <c r="R90" s="426"/>
      <c r="S90" s="304"/>
      <c r="T90" s="421"/>
      <c r="U90" s="22"/>
    </row>
    <row r="91" spans="2:23" ht="21">
      <c r="B91" s="313" t="s">
        <v>82</v>
      </c>
      <c r="C91" s="313"/>
      <c r="D91" s="313"/>
      <c r="E91" s="313"/>
      <c r="F91" s="313"/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  <c r="T91" s="313"/>
      <c r="U91" s="116">
        <f>SUM(U81:U88)</f>
        <v>140</v>
      </c>
    </row>
    <row r="92" spans="2:23" ht="28.5" customHeight="1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2:23" ht="28.5" customHeight="1">
      <c r="B93" s="12" t="s">
        <v>49</v>
      </c>
      <c r="C93" s="312" t="s">
        <v>36</v>
      </c>
      <c r="D93" s="354"/>
      <c r="E93" s="312" t="s">
        <v>50</v>
      </c>
      <c r="F93" s="354"/>
      <c r="G93" s="312" t="s">
        <v>28</v>
      </c>
      <c r="H93" s="354"/>
      <c r="I93" s="11" t="s">
        <v>51</v>
      </c>
      <c r="J93" s="312" t="s">
        <v>52</v>
      </c>
      <c r="K93" s="354"/>
      <c r="L93" s="313" t="s">
        <v>53</v>
      </c>
      <c r="M93" s="313"/>
      <c r="N93" s="313"/>
      <c r="O93" s="313"/>
      <c r="P93" s="313"/>
      <c r="Q93" s="313"/>
      <c r="R93" s="313"/>
      <c r="S93" s="312" t="s">
        <v>54</v>
      </c>
      <c r="T93" s="354"/>
      <c r="U93" s="3" t="s">
        <v>55</v>
      </c>
    </row>
    <row r="94" spans="2:23" ht="28.5" customHeight="1">
      <c r="B94" s="8" t="s">
        <v>42</v>
      </c>
      <c r="C94" s="148">
        <v>4500</v>
      </c>
      <c r="D94" s="148">
        <v>12</v>
      </c>
      <c r="E94" s="148">
        <f>C94-228-600</f>
        <v>3672</v>
      </c>
      <c r="F94" s="148">
        <v>11</v>
      </c>
      <c r="G94" s="380">
        <f>E94-C94</f>
        <v>-828</v>
      </c>
      <c r="H94" s="381"/>
      <c r="I94" s="22"/>
      <c r="J94" s="315"/>
      <c r="K94" s="382"/>
      <c r="L94" s="322"/>
      <c r="M94" s="322"/>
      <c r="N94" s="322"/>
      <c r="O94" s="322"/>
      <c r="P94" s="322"/>
      <c r="Q94" s="322"/>
      <c r="R94" s="322"/>
      <c r="S94" s="312"/>
      <c r="T94" s="354"/>
      <c r="U94" s="22"/>
    </row>
    <row r="95" spans="2:23" ht="27.75" customHeight="1">
      <c r="B95" s="6" t="s">
        <v>144</v>
      </c>
      <c r="C95" s="308">
        <v>300</v>
      </c>
      <c r="D95" s="364"/>
      <c r="E95" s="308">
        <v>72</v>
      </c>
      <c r="F95" s="364"/>
      <c r="G95" s="310">
        <f>E95-C95</f>
        <v>-228</v>
      </c>
      <c r="H95" s="310"/>
      <c r="I95" s="93" t="s">
        <v>145</v>
      </c>
      <c r="J95" s="383" t="s">
        <v>146</v>
      </c>
      <c r="K95" s="384"/>
      <c r="L95" s="385" t="s">
        <v>147</v>
      </c>
      <c r="M95" s="385"/>
      <c r="N95" s="385"/>
      <c r="O95" s="385"/>
      <c r="P95" s="385"/>
      <c r="Q95" s="385"/>
      <c r="R95" s="385"/>
      <c r="S95" s="423" t="s">
        <v>148</v>
      </c>
      <c r="T95" s="424"/>
      <c r="U95" s="93">
        <v>45</v>
      </c>
    </row>
    <row r="96" spans="2:23" ht="27.75" customHeight="1">
      <c r="B96" s="6" t="s">
        <v>149</v>
      </c>
      <c r="C96" s="308">
        <v>600</v>
      </c>
      <c r="D96" s="364"/>
      <c r="E96" s="308">
        <v>0</v>
      </c>
      <c r="F96" s="364"/>
      <c r="G96" s="310">
        <f t="shared" ref="G96" si="4">E96-C96</f>
        <v>-600</v>
      </c>
      <c r="H96" s="310"/>
      <c r="I96" s="93" t="s">
        <v>145</v>
      </c>
      <c r="J96" s="383" t="s">
        <v>146</v>
      </c>
      <c r="K96" s="384"/>
      <c r="L96" s="385" t="s">
        <v>147</v>
      </c>
      <c r="M96" s="385"/>
      <c r="N96" s="385"/>
      <c r="O96" s="385"/>
      <c r="P96" s="385"/>
      <c r="Q96" s="385"/>
      <c r="R96" s="385"/>
      <c r="S96" s="423" t="s">
        <v>148</v>
      </c>
      <c r="T96" s="424"/>
      <c r="U96" s="93">
        <v>40</v>
      </c>
    </row>
    <row r="97" spans="2:22" ht="27.75" customHeight="1">
      <c r="B97" s="6"/>
      <c r="C97" s="308"/>
      <c r="D97" s="364"/>
      <c r="E97" s="308"/>
      <c r="F97" s="364"/>
      <c r="G97" s="380">
        <f>E97-C97</f>
        <v>0</v>
      </c>
      <c r="H97" s="381"/>
      <c r="I97" s="93"/>
      <c r="J97" s="383"/>
      <c r="K97" s="384"/>
      <c r="L97" s="385"/>
      <c r="M97" s="385"/>
      <c r="N97" s="385"/>
      <c r="O97" s="385"/>
      <c r="P97" s="385"/>
      <c r="Q97" s="385"/>
      <c r="R97" s="385"/>
      <c r="S97" s="423"/>
      <c r="T97" s="424"/>
      <c r="U97" s="93"/>
    </row>
    <row r="98" spans="2:22" ht="21">
      <c r="B98" s="313" t="s">
        <v>82</v>
      </c>
      <c r="C98" s="313"/>
      <c r="D98" s="313"/>
      <c r="E98" s="313"/>
      <c r="F98" s="313"/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  <c r="T98" s="313"/>
      <c r="U98" s="116">
        <f>SUM(U94:U96)</f>
        <v>85</v>
      </c>
    </row>
    <row r="99" spans="2:22" ht="28.5" customHeight="1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1"/>
      <c r="V99" s="2"/>
    </row>
    <row r="100" spans="2:22" ht="28.5" customHeight="1">
      <c r="B100" s="328" t="s">
        <v>150</v>
      </c>
      <c r="C100" s="328"/>
      <c r="V100" s="2"/>
    </row>
    <row r="101" spans="2:22" ht="31.5" customHeight="1">
      <c r="B101" s="386" t="s">
        <v>151</v>
      </c>
      <c r="C101" s="312" t="s">
        <v>36</v>
      </c>
      <c r="D101" s="353"/>
      <c r="E101" s="353"/>
      <c r="F101" s="353"/>
      <c r="G101" s="353"/>
      <c r="H101" s="354"/>
      <c r="I101" s="327" t="s">
        <v>3</v>
      </c>
      <c r="J101" s="366"/>
      <c r="K101" s="386" t="s">
        <v>28</v>
      </c>
      <c r="L101" s="327" t="s">
        <v>152</v>
      </c>
      <c r="M101" s="365"/>
      <c r="N101" s="365"/>
      <c r="O101" s="365"/>
      <c r="P101" s="365"/>
      <c r="Q101" s="365"/>
      <c r="R101" s="365"/>
      <c r="S101" s="365"/>
      <c r="T101" s="389" t="s">
        <v>153</v>
      </c>
      <c r="U101" s="2"/>
      <c r="V101" s="162"/>
    </row>
    <row r="102" spans="2:22" ht="31.5" customHeight="1">
      <c r="B102" s="387"/>
      <c r="C102" s="357" t="s">
        <v>154</v>
      </c>
      <c r="D102" s="358"/>
      <c r="E102" s="357" t="s">
        <v>155</v>
      </c>
      <c r="F102" s="358"/>
      <c r="G102" s="312" t="s">
        <v>156</v>
      </c>
      <c r="H102" s="354"/>
      <c r="I102" s="367"/>
      <c r="J102" s="369"/>
      <c r="K102" s="387"/>
      <c r="L102" s="367"/>
      <c r="M102" s="368"/>
      <c r="N102" s="368"/>
      <c r="O102" s="368"/>
      <c r="P102" s="368"/>
      <c r="Q102" s="368"/>
      <c r="R102" s="368"/>
      <c r="S102" s="368"/>
      <c r="T102" s="390"/>
      <c r="U102" s="2" t="s">
        <v>157</v>
      </c>
      <c r="V102" s="162"/>
    </row>
    <row r="103" spans="2:22" ht="33.75" customHeight="1">
      <c r="B103" s="6" t="s">
        <v>158</v>
      </c>
      <c r="C103" s="340">
        <v>8</v>
      </c>
      <c r="D103" s="341"/>
      <c r="E103" s="340">
        <v>1</v>
      </c>
      <c r="F103" s="341"/>
      <c r="G103" s="351">
        <f>+E103+C103</f>
        <v>9</v>
      </c>
      <c r="H103" s="352"/>
      <c r="I103" s="351">
        <f>+G103</f>
        <v>9</v>
      </c>
      <c r="J103" s="352"/>
      <c r="K103" s="89">
        <f>+I103-G103</f>
        <v>0</v>
      </c>
      <c r="L103" s="334"/>
      <c r="M103" s="335"/>
      <c r="N103" s="335"/>
      <c r="O103" s="335"/>
      <c r="P103" s="335"/>
      <c r="Q103" s="335"/>
      <c r="R103" s="335"/>
      <c r="S103" s="336"/>
      <c r="T103" s="168"/>
      <c r="U103" s="162"/>
      <c r="V103" s="162"/>
    </row>
    <row r="104" spans="2:22" ht="38.25" customHeight="1">
      <c r="B104" s="6" t="s">
        <v>159</v>
      </c>
      <c r="C104" s="340">
        <v>19</v>
      </c>
      <c r="D104" s="341"/>
      <c r="E104" s="340">
        <v>10</v>
      </c>
      <c r="F104" s="341"/>
      <c r="G104" s="351">
        <f>+E104+C104</f>
        <v>29</v>
      </c>
      <c r="H104" s="352"/>
      <c r="I104" s="351">
        <f>+G104-1</f>
        <v>28</v>
      </c>
      <c r="J104" s="352"/>
      <c r="K104" s="89">
        <f>+I104-G104</f>
        <v>-1</v>
      </c>
      <c r="L104" s="334" t="s">
        <v>160</v>
      </c>
      <c r="M104" s="362"/>
      <c r="N104" s="362"/>
      <c r="O104" s="362"/>
      <c r="P104" s="362"/>
      <c r="Q104" s="362"/>
      <c r="R104" s="362"/>
      <c r="S104" s="363"/>
      <c r="T104" s="168">
        <v>254</v>
      </c>
      <c r="U104" s="162"/>
      <c r="V104" s="162"/>
    </row>
    <row r="105" spans="2:22" ht="34.5" customHeight="1">
      <c r="B105" s="6" t="s">
        <v>161</v>
      </c>
      <c r="C105" s="340">
        <v>15</v>
      </c>
      <c r="D105" s="341"/>
      <c r="E105" s="340">
        <v>16</v>
      </c>
      <c r="F105" s="341"/>
      <c r="G105" s="351">
        <f>+E105+C105</f>
        <v>31</v>
      </c>
      <c r="H105" s="352"/>
      <c r="I105" s="351">
        <f t="shared" ref="I105:I114" si="5">+G105</f>
        <v>31</v>
      </c>
      <c r="J105" s="352"/>
      <c r="K105" s="89">
        <f>+I105-G105</f>
        <v>0</v>
      </c>
      <c r="L105" s="334"/>
      <c r="M105" s="335"/>
      <c r="N105" s="335"/>
      <c r="O105" s="335"/>
      <c r="P105" s="335"/>
      <c r="Q105" s="335"/>
      <c r="R105" s="335"/>
      <c r="S105" s="336"/>
      <c r="T105" s="168"/>
      <c r="U105" s="162"/>
      <c r="V105" s="162"/>
    </row>
    <row r="106" spans="2:22" ht="32.25" customHeight="1">
      <c r="B106" s="6" t="s">
        <v>162</v>
      </c>
      <c r="C106" s="340">
        <v>28</v>
      </c>
      <c r="D106" s="341"/>
      <c r="E106" s="340">
        <v>25</v>
      </c>
      <c r="F106" s="341"/>
      <c r="G106" s="351">
        <f t="shared" ref="G104:G116" si="6">+E106+C106</f>
        <v>53</v>
      </c>
      <c r="H106" s="352"/>
      <c r="I106" s="351">
        <f>+G106-1</f>
        <v>52</v>
      </c>
      <c r="J106" s="352"/>
      <c r="K106" s="89">
        <f t="shared" ref="K104:K116" si="7">+I106-G106</f>
        <v>-1</v>
      </c>
      <c r="L106" s="334" t="s">
        <v>163</v>
      </c>
      <c r="M106" s="335"/>
      <c r="N106" s="335"/>
      <c r="O106" s="335"/>
      <c r="P106" s="335"/>
      <c r="Q106" s="335"/>
      <c r="R106" s="335"/>
      <c r="S106" s="336"/>
      <c r="T106" s="168">
        <v>72</v>
      </c>
      <c r="U106" s="162"/>
      <c r="V106" s="162"/>
    </row>
    <row r="107" spans="2:22" ht="68.25" customHeight="1">
      <c r="B107" s="6" t="s">
        <v>164</v>
      </c>
      <c r="C107" s="340">
        <v>11</v>
      </c>
      <c r="D107" s="341"/>
      <c r="E107" s="340">
        <v>9</v>
      </c>
      <c r="F107" s="341"/>
      <c r="G107" s="351">
        <f t="shared" si="6"/>
        <v>20</v>
      </c>
      <c r="H107" s="352"/>
      <c r="I107" s="351">
        <f>+G107-5</f>
        <v>15</v>
      </c>
      <c r="J107" s="352"/>
      <c r="K107" s="89">
        <f t="shared" si="7"/>
        <v>-5</v>
      </c>
      <c r="L107" s="334" t="s">
        <v>165</v>
      </c>
      <c r="M107" s="335"/>
      <c r="N107" s="335"/>
      <c r="O107" s="335"/>
      <c r="P107" s="335"/>
      <c r="Q107" s="335"/>
      <c r="R107" s="335"/>
      <c r="S107" s="336"/>
      <c r="T107" s="168">
        <v>298</v>
      </c>
      <c r="U107" s="162"/>
      <c r="V107" s="162"/>
    </row>
    <row r="108" spans="2:22" ht="31.5" customHeight="1">
      <c r="B108" s="6" t="s">
        <v>166</v>
      </c>
      <c r="C108" s="340">
        <v>10</v>
      </c>
      <c r="D108" s="341"/>
      <c r="E108" s="340">
        <v>8</v>
      </c>
      <c r="F108" s="341"/>
      <c r="G108" s="351">
        <f t="shared" si="6"/>
        <v>18</v>
      </c>
      <c r="H108" s="352"/>
      <c r="I108" s="351">
        <f t="shared" si="5"/>
        <v>18</v>
      </c>
      <c r="J108" s="352"/>
      <c r="K108" s="89">
        <f t="shared" si="7"/>
        <v>0</v>
      </c>
      <c r="L108" s="334"/>
      <c r="M108" s="362"/>
      <c r="N108" s="362"/>
      <c r="O108" s="362"/>
      <c r="P108" s="362"/>
      <c r="Q108" s="362"/>
      <c r="R108" s="362"/>
      <c r="S108" s="363"/>
      <c r="T108" s="168"/>
      <c r="U108" s="162"/>
      <c r="V108" s="162"/>
    </row>
    <row r="109" spans="2:22" ht="31.5" customHeight="1">
      <c r="B109" s="6" t="s">
        <v>167</v>
      </c>
      <c r="C109" s="340">
        <v>11</v>
      </c>
      <c r="D109" s="341"/>
      <c r="E109" s="340">
        <v>8</v>
      </c>
      <c r="F109" s="341"/>
      <c r="G109" s="351">
        <f t="shared" si="6"/>
        <v>19</v>
      </c>
      <c r="H109" s="352"/>
      <c r="I109" s="351">
        <f t="shared" si="5"/>
        <v>19</v>
      </c>
      <c r="J109" s="352"/>
      <c r="K109" s="89">
        <f t="shared" si="7"/>
        <v>0</v>
      </c>
      <c r="L109" s="361"/>
      <c r="M109" s="362"/>
      <c r="N109" s="362"/>
      <c r="O109" s="362"/>
      <c r="P109" s="362"/>
      <c r="Q109" s="362"/>
      <c r="R109" s="362"/>
      <c r="S109" s="363"/>
      <c r="T109" s="168"/>
      <c r="U109" s="162"/>
      <c r="V109" s="162"/>
    </row>
    <row r="110" spans="2:22" ht="31.5" customHeight="1">
      <c r="B110" s="6" t="s">
        <v>168</v>
      </c>
      <c r="C110" s="340">
        <v>7</v>
      </c>
      <c r="D110" s="341"/>
      <c r="E110" s="340">
        <v>5</v>
      </c>
      <c r="F110" s="341"/>
      <c r="G110" s="351">
        <f t="shared" si="6"/>
        <v>12</v>
      </c>
      <c r="H110" s="352"/>
      <c r="I110" s="351">
        <f t="shared" si="5"/>
        <v>12</v>
      </c>
      <c r="J110" s="352"/>
      <c r="K110" s="89">
        <f t="shared" si="7"/>
        <v>0</v>
      </c>
      <c r="L110" s="334"/>
      <c r="M110" s="335"/>
      <c r="N110" s="335"/>
      <c r="O110" s="335"/>
      <c r="P110" s="335"/>
      <c r="Q110" s="335"/>
      <c r="R110" s="335"/>
      <c r="S110" s="336"/>
      <c r="T110" s="168"/>
      <c r="U110" s="162"/>
      <c r="V110" s="162"/>
    </row>
    <row r="111" spans="2:22" ht="31.5" customHeight="1">
      <c r="B111" s="6" t="s">
        <v>169</v>
      </c>
      <c r="C111" s="340">
        <v>8</v>
      </c>
      <c r="D111" s="341"/>
      <c r="E111" s="340">
        <v>8</v>
      </c>
      <c r="F111" s="341"/>
      <c r="G111" s="351">
        <f t="shared" si="6"/>
        <v>16</v>
      </c>
      <c r="H111" s="352"/>
      <c r="I111" s="351">
        <f t="shared" si="5"/>
        <v>16</v>
      </c>
      <c r="J111" s="352"/>
      <c r="K111" s="89">
        <f t="shared" si="7"/>
        <v>0</v>
      </c>
      <c r="L111" s="361"/>
      <c r="M111" s="362"/>
      <c r="N111" s="362"/>
      <c r="O111" s="362"/>
      <c r="P111" s="362"/>
      <c r="Q111" s="362"/>
      <c r="R111" s="362"/>
      <c r="S111" s="363"/>
      <c r="T111" s="168"/>
      <c r="U111" s="162"/>
      <c r="V111" s="162"/>
    </row>
    <row r="112" spans="2:22" ht="31.5" customHeight="1">
      <c r="B112" s="6" t="s">
        <v>170</v>
      </c>
      <c r="C112" s="340">
        <v>10</v>
      </c>
      <c r="D112" s="341"/>
      <c r="E112" s="340">
        <v>7</v>
      </c>
      <c r="F112" s="341"/>
      <c r="G112" s="351">
        <f t="shared" si="6"/>
        <v>17</v>
      </c>
      <c r="H112" s="352"/>
      <c r="I112" s="351">
        <f>+G112-1</f>
        <v>16</v>
      </c>
      <c r="J112" s="352"/>
      <c r="K112" s="89">
        <f t="shared" si="7"/>
        <v>-1</v>
      </c>
      <c r="L112" s="361" t="s">
        <v>171</v>
      </c>
      <c r="M112" s="362"/>
      <c r="N112" s="362"/>
      <c r="O112" s="362"/>
      <c r="P112" s="362"/>
      <c r="Q112" s="362"/>
      <c r="R112" s="362"/>
      <c r="S112" s="363"/>
      <c r="T112" s="168">
        <v>19</v>
      </c>
      <c r="U112" s="162"/>
      <c r="V112" s="162"/>
    </row>
    <row r="113" spans="2:23" ht="31.5" customHeight="1">
      <c r="B113" s="6" t="s">
        <v>172</v>
      </c>
      <c r="C113" s="340">
        <v>22</v>
      </c>
      <c r="D113" s="341"/>
      <c r="E113" s="340">
        <v>18</v>
      </c>
      <c r="F113" s="341"/>
      <c r="G113" s="351">
        <f>+E113+C113</f>
        <v>40</v>
      </c>
      <c r="H113" s="352"/>
      <c r="I113" s="351">
        <f t="shared" si="5"/>
        <v>40</v>
      </c>
      <c r="J113" s="352"/>
      <c r="K113" s="89">
        <f t="shared" si="7"/>
        <v>0</v>
      </c>
      <c r="L113" s="334"/>
      <c r="M113" s="359"/>
      <c r="N113" s="359"/>
      <c r="O113" s="359"/>
      <c r="P113" s="359"/>
      <c r="Q113" s="359"/>
      <c r="R113" s="359"/>
      <c r="S113" s="360"/>
      <c r="T113" s="168"/>
      <c r="U113" s="162"/>
      <c r="V113" s="162"/>
    </row>
    <row r="114" spans="2:23" ht="32.25" customHeight="1">
      <c r="B114" s="6" t="s">
        <v>173</v>
      </c>
      <c r="C114" s="340">
        <v>17</v>
      </c>
      <c r="D114" s="341"/>
      <c r="E114" s="340">
        <v>15</v>
      </c>
      <c r="F114" s="341"/>
      <c r="G114" s="351">
        <f t="shared" si="6"/>
        <v>32</v>
      </c>
      <c r="H114" s="352"/>
      <c r="I114" s="351">
        <f>+G114-1</f>
        <v>31</v>
      </c>
      <c r="J114" s="352"/>
      <c r="K114" s="89">
        <f t="shared" si="7"/>
        <v>-1</v>
      </c>
      <c r="L114" s="334" t="s">
        <v>174</v>
      </c>
      <c r="M114" s="335"/>
      <c r="N114" s="335"/>
      <c r="O114" s="335"/>
      <c r="P114" s="335"/>
      <c r="Q114" s="335"/>
      <c r="R114" s="335"/>
      <c r="S114" s="336"/>
      <c r="T114" s="168">
        <v>23</v>
      </c>
      <c r="U114" s="162"/>
      <c r="V114" s="162"/>
    </row>
    <row r="115" spans="2:23" ht="38.25" customHeight="1">
      <c r="B115" s="6" t="s">
        <v>175</v>
      </c>
      <c r="C115" s="340">
        <v>6</v>
      </c>
      <c r="D115" s="341"/>
      <c r="E115" s="340">
        <v>6</v>
      </c>
      <c r="F115" s="341"/>
      <c r="G115" s="351">
        <f t="shared" si="6"/>
        <v>12</v>
      </c>
      <c r="H115" s="352"/>
      <c r="I115" s="351">
        <f>+G115</f>
        <v>12</v>
      </c>
      <c r="J115" s="352"/>
      <c r="K115" s="89">
        <f t="shared" si="7"/>
        <v>0</v>
      </c>
      <c r="L115" s="334"/>
      <c r="M115" s="335"/>
      <c r="N115" s="335"/>
      <c r="O115" s="335"/>
      <c r="P115" s="335"/>
      <c r="Q115" s="335"/>
      <c r="R115" s="335"/>
      <c r="S115" s="336"/>
      <c r="T115" s="168"/>
      <c r="U115" s="162"/>
      <c r="V115" s="163"/>
      <c r="W115" s="1" t="s">
        <v>176</v>
      </c>
    </row>
    <row r="116" spans="2:23" ht="25.5" customHeight="1">
      <c r="B116" s="6" t="s">
        <v>177</v>
      </c>
      <c r="C116" s="340">
        <v>4</v>
      </c>
      <c r="D116" s="341"/>
      <c r="E116" s="340">
        <v>4</v>
      </c>
      <c r="F116" s="341"/>
      <c r="G116" s="351">
        <f t="shared" si="6"/>
        <v>8</v>
      </c>
      <c r="H116" s="352"/>
      <c r="I116" s="351">
        <v>8</v>
      </c>
      <c r="J116" s="352"/>
      <c r="K116" s="89">
        <f t="shared" si="7"/>
        <v>0</v>
      </c>
      <c r="L116" s="337"/>
      <c r="M116" s="338"/>
      <c r="N116" s="338"/>
      <c r="O116" s="338"/>
      <c r="P116" s="338"/>
      <c r="Q116" s="338"/>
      <c r="R116" s="338"/>
      <c r="S116" s="339"/>
      <c r="T116" s="168"/>
      <c r="U116" s="162"/>
    </row>
    <row r="117" spans="2:23" ht="27" customHeight="1">
      <c r="B117" s="312" t="s">
        <v>178</v>
      </c>
      <c r="C117" s="353"/>
      <c r="D117" s="353"/>
      <c r="E117" s="353"/>
      <c r="F117" s="353"/>
      <c r="G117" s="353"/>
      <c r="H117" s="353"/>
      <c r="I117" s="353"/>
      <c r="J117" s="354"/>
      <c r="K117" s="159">
        <f>SUM(K103:K116)</f>
        <v>-9</v>
      </c>
      <c r="L117" s="355" t="s">
        <v>82</v>
      </c>
      <c r="M117" s="356"/>
      <c r="N117" s="356"/>
      <c r="O117" s="356"/>
      <c r="P117" s="356"/>
      <c r="Q117" s="356"/>
      <c r="R117" s="356"/>
      <c r="S117" s="356"/>
      <c r="T117" s="161">
        <f>SUM(T103:T116)</f>
        <v>666</v>
      </c>
      <c r="U117" s="163"/>
    </row>
    <row r="119" spans="2:23" ht="28.5" customHeight="1"/>
    <row r="120" spans="2:23" ht="28.5" customHeight="1"/>
    <row r="121" spans="2:23" ht="28.5" customHeight="1">
      <c r="B121" s="342"/>
      <c r="C121" s="344" t="s">
        <v>179</v>
      </c>
      <c r="D121" s="346"/>
      <c r="E121" s="346"/>
      <c r="F121" s="346"/>
      <c r="G121" s="346"/>
      <c r="H121" s="345"/>
      <c r="I121" s="347" t="s">
        <v>28</v>
      </c>
      <c r="J121" s="347" t="s">
        <v>4</v>
      </c>
      <c r="K121" s="327" t="s">
        <v>5</v>
      </c>
      <c r="L121" s="365"/>
      <c r="M121" s="365"/>
      <c r="N121" s="365"/>
      <c r="O121" s="365"/>
      <c r="P121" s="365"/>
      <c r="Q121" s="365"/>
      <c r="R121" s="365"/>
      <c r="S121" s="366"/>
      <c r="T121" s="2"/>
      <c r="U121" s="2"/>
    </row>
    <row r="122" spans="2:23" ht="28.5" customHeight="1">
      <c r="B122" s="343"/>
      <c r="C122" s="344" t="s">
        <v>2</v>
      </c>
      <c r="D122" s="345"/>
      <c r="E122" s="344" t="s">
        <v>36</v>
      </c>
      <c r="F122" s="345"/>
      <c r="G122" s="349" t="s">
        <v>3</v>
      </c>
      <c r="H122" s="350"/>
      <c r="I122" s="348"/>
      <c r="J122" s="348"/>
      <c r="K122" s="367"/>
      <c r="L122" s="368"/>
      <c r="M122" s="368"/>
      <c r="N122" s="368"/>
      <c r="O122" s="368"/>
      <c r="P122" s="368"/>
      <c r="Q122" s="368"/>
      <c r="R122" s="368"/>
      <c r="S122" s="369"/>
      <c r="T122" s="2"/>
      <c r="U122" s="2"/>
    </row>
    <row r="123" spans="2:23" ht="28.5" customHeight="1">
      <c r="B123" s="6" t="s">
        <v>180</v>
      </c>
      <c r="C123" s="308">
        <v>1300</v>
      </c>
      <c r="D123" s="364">
        <v>1300</v>
      </c>
      <c r="E123" s="308">
        <v>1005</v>
      </c>
      <c r="F123" s="364"/>
      <c r="G123" s="308">
        <v>1001</v>
      </c>
      <c r="H123" s="364"/>
      <c r="I123" s="91">
        <f>+G123-E123</f>
        <v>-4</v>
      </c>
      <c r="J123" s="5"/>
      <c r="K123" s="370"/>
      <c r="L123" s="371"/>
      <c r="M123" s="371"/>
      <c r="N123" s="371"/>
      <c r="O123" s="371"/>
      <c r="P123" s="371"/>
      <c r="Q123" s="371"/>
      <c r="R123" s="371"/>
      <c r="S123" s="372"/>
      <c r="T123" s="14"/>
      <c r="U123" s="14"/>
    </row>
    <row r="124" spans="2:23" ht="28.5" customHeight="1">
      <c r="B124" s="6" t="s">
        <v>181</v>
      </c>
      <c r="C124" s="308">
        <v>550</v>
      </c>
      <c r="D124" s="364">
        <v>550</v>
      </c>
      <c r="E124" s="308">
        <v>414</v>
      </c>
      <c r="F124" s="364"/>
      <c r="G124" s="308">
        <v>399</v>
      </c>
      <c r="H124" s="364"/>
      <c r="I124" s="91">
        <f>+G124-E124</f>
        <v>-15</v>
      </c>
      <c r="J124" s="5"/>
      <c r="K124" s="370"/>
      <c r="L124" s="371"/>
      <c r="M124" s="371"/>
      <c r="N124" s="371"/>
      <c r="O124" s="371"/>
      <c r="P124" s="371"/>
      <c r="Q124" s="371"/>
      <c r="R124" s="371"/>
      <c r="S124" s="372"/>
      <c r="T124" s="14"/>
      <c r="U124" s="14"/>
    </row>
    <row r="125" spans="2:23" ht="25.5" customHeight="1">
      <c r="B125" s="6" t="s">
        <v>182</v>
      </c>
      <c r="C125" s="308">
        <v>176</v>
      </c>
      <c r="D125" s="364">
        <v>176</v>
      </c>
      <c r="E125" s="308">
        <v>132</v>
      </c>
      <c r="F125" s="364"/>
      <c r="G125" s="376">
        <v>135</v>
      </c>
      <c r="H125" s="377"/>
      <c r="I125" s="91">
        <f>+G125-E125</f>
        <v>3</v>
      </c>
      <c r="J125" s="5"/>
      <c r="K125" s="370"/>
      <c r="L125" s="371"/>
      <c r="M125" s="371"/>
      <c r="N125" s="371"/>
      <c r="O125" s="371"/>
      <c r="P125" s="371"/>
      <c r="Q125" s="371"/>
      <c r="R125" s="371"/>
      <c r="S125" s="372"/>
      <c r="T125" s="14"/>
      <c r="U125" s="14"/>
    </row>
    <row r="126" spans="2:23" ht="34.5" customHeight="1">
      <c r="B126" s="6" t="s">
        <v>156</v>
      </c>
      <c r="C126" s="308">
        <v>780</v>
      </c>
      <c r="D126" s="364">
        <v>780</v>
      </c>
      <c r="E126" s="308">
        <v>636</v>
      </c>
      <c r="F126" s="364"/>
      <c r="G126" s="378">
        <v>626</v>
      </c>
      <c r="H126" s="379"/>
      <c r="I126" s="91">
        <f>+G126-E126</f>
        <v>-10</v>
      </c>
      <c r="J126" s="5"/>
      <c r="K126" s="373"/>
      <c r="L126" s="374"/>
      <c r="M126" s="374"/>
      <c r="N126" s="374"/>
      <c r="O126" s="374"/>
      <c r="P126" s="374"/>
      <c r="Q126" s="374"/>
      <c r="R126" s="374"/>
      <c r="S126" s="375"/>
      <c r="T126" s="14"/>
      <c r="U126" s="14"/>
    </row>
  </sheetData>
  <mergeCells count="554">
    <mergeCell ref="C31:D31"/>
    <mergeCell ref="E31:F31"/>
    <mergeCell ref="G31:H31"/>
    <mergeCell ref="J31:K31"/>
    <mergeCell ref="L31:R31"/>
    <mergeCell ref="S31:T31"/>
    <mergeCell ref="C27:D27"/>
    <mergeCell ref="E27:F27"/>
    <mergeCell ref="G27:H27"/>
    <mergeCell ref="J27:K27"/>
    <mergeCell ref="L27:R27"/>
    <mergeCell ref="S27:T27"/>
    <mergeCell ref="C28:D28"/>
    <mergeCell ref="E28:F28"/>
    <mergeCell ref="G28:H28"/>
    <mergeCell ref="J28:K28"/>
    <mergeCell ref="L28:R28"/>
    <mergeCell ref="S28:T28"/>
    <mergeCell ref="C29:D29"/>
    <mergeCell ref="E29:F29"/>
    <mergeCell ref="G29:H29"/>
    <mergeCell ref="J29:K29"/>
    <mergeCell ref="L29:R29"/>
    <mergeCell ref="S29:T29"/>
    <mergeCell ref="C30:D30"/>
    <mergeCell ref="E30:F30"/>
    <mergeCell ref="G30:H30"/>
    <mergeCell ref="J30:K30"/>
    <mergeCell ref="L30:R30"/>
    <mergeCell ref="S30:T30"/>
    <mergeCell ref="C69:D69"/>
    <mergeCell ref="E69:F69"/>
    <mergeCell ref="G69:H69"/>
    <mergeCell ref="J69:K69"/>
    <mergeCell ref="L69:R69"/>
    <mergeCell ref="S69:T69"/>
    <mergeCell ref="G68:H68"/>
    <mergeCell ref="E50:F50"/>
    <mergeCell ref="G50:H50"/>
    <mergeCell ref="J50:K50"/>
    <mergeCell ref="L50:R50"/>
    <mergeCell ref="G60:H60"/>
    <mergeCell ref="J60:K60"/>
    <mergeCell ref="L60:R60"/>
    <mergeCell ref="E60:F60"/>
    <mergeCell ref="S68:T68"/>
    <mergeCell ref="J68:K68"/>
    <mergeCell ref="L42:R42"/>
    <mergeCell ref="C74:D74"/>
    <mergeCell ref="E74:F74"/>
    <mergeCell ref="G74:H74"/>
    <mergeCell ref="J74:K74"/>
    <mergeCell ref="L74:R74"/>
    <mergeCell ref="S74:T74"/>
    <mergeCell ref="C70:D70"/>
    <mergeCell ref="E70:F70"/>
    <mergeCell ref="G70:H70"/>
    <mergeCell ref="J70:K70"/>
    <mergeCell ref="L70:R70"/>
    <mergeCell ref="S70:T70"/>
    <mergeCell ref="C71:D71"/>
    <mergeCell ref="E71:F71"/>
    <mergeCell ref="G71:H71"/>
    <mergeCell ref="J71:K71"/>
    <mergeCell ref="L71:R71"/>
    <mergeCell ref="S71:T71"/>
    <mergeCell ref="C72:D72"/>
    <mergeCell ref="E72:F72"/>
    <mergeCell ref="G72:H72"/>
    <mergeCell ref="J72:K72"/>
    <mergeCell ref="L72:R72"/>
    <mergeCell ref="S72:T72"/>
    <mergeCell ref="C73:D73"/>
    <mergeCell ref="E73:F73"/>
    <mergeCell ref="G73:H73"/>
    <mergeCell ref="J73:K73"/>
    <mergeCell ref="L73:R73"/>
    <mergeCell ref="S73:T73"/>
    <mergeCell ref="C90:D90"/>
    <mergeCell ref="E90:F90"/>
    <mergeCell ref="G90:H90"/>
    <mergeCell ref="J90:K90"/>
    <mergeCell ref="L90:R90"/>
    <mergeCell ref="S90:T90"/>
    <mergeCell ref="C75:D75"/>
    <mergeCell ref="E75:F75"/>
    <mergeCell ref="G75:H75"/>
    <mergeCell ref="J75:K75"/>
    <mergeCell ref="L75:R75"/>
    <mergeCell ref="S75:T75"/>
    <mergeCell ref="S85:T85"/>
    <mergeCell ref="C86:D86"/>
    <mergeCell ref="E86:F86"/>
    <mergeCell ref="G86:H86"/>
    <mergeCell ref="J86:K86"/>
    <mergeCell ref="L86:R86"/>
    <mergeCell ref="C89:D89"/>
    <mergeCell ref="E89:F89"/>
    <mergeCell ref="G89:H89"/>
    <mergeCell ref="J89:K89"/>
    <mergeCell ref="L89:R89"/>
    <mergeCell ref="S89:T89"/>
    <mergeCell ref="S97:T97"/>
    <mergeCell ref="C82:D82"/>
    <mergeCell ref="E82:F82"/>
    <mergeCell ref="G82:H82"/>
    <mergeCell ref="J82:K82"/>
    <mergeCell ref="L82:R82"/>
    <mergeCell ref="S82:T82"/>
    <mergeCell ref="C83:D83"/>
    <mergeCell ref="E83:F83"/>
    <mergeCell ref="G83:H83"/>
    <mergeCell ref="J83:K83"/>
    <mergeCell ref="L83:R83"/>
    <mergeCell ref="S83:T83"/>
    <mergeCell ref="C95:D95"/>
    <mergeCell ref="E95:F95"/>
    <mergeCell ref="G95:H95"/>
    <mergeCell ref="S95:T95"/>
    <mergeCell ref="C96:D96"/>
    <mergeCell ref="E96:F96"/>
    <mergeCell ref="C85:D85"/>
    <mergeCell ref="E85:F85"/>
    <mergeCell ref="G85:H85"/>
    <mergeCell ref="J85:K85"/>
    <mergeCell ref="L85:R85"/>
    <mergeCell ref="L79:R79"/>
    <mergeCell ref="S79:T79"/>
    <mergeCell ref="G96:H96"/>
    <mergeCell ref="J96:K96"/>
    <mergeCell ref="L96:R96"/>
    <mergeCell ref="S96:T96"/>
    <mergeCell ref="B91:T91"/>
    <mergeCell ref="E81:F81"/>
    <mergeCell ref="C88:D88"/>
    <mergeCell ref="J95:K95"/>
    <mergeCell ref="L95:R95"/>
    <mergeCell ref="E88:F88"/>
    <mergeCell ref="G88:H88"/>
    <mergeCell ref="J88:K88"/>
    <mergeCell ref="L88:R88"/>
    <mergeCell ref="S88:T88"/>
    <mergeCell ref="C84:D84"/>
    <mergeCell ref="C87:D87"/>
    <mergeCell ref="S84:T84"/>
    <mergeCell ref="E87:F87"/>
    <mergeCell ref="G87:H87"/>
    <mergeCell ref="J87:K87"/>
    <mergeCell ref="L87:R87"/>
    <mergeCell ref="S87:T87"/>
    <mergeCell ref="E84:F84"/>
    <mergeCell ref="G84:H84"/>
    <mergeCell ref="J84:K84"/>
    <mergeCell ref="L84:R84"/>
    <mergeCell ref="S86:T86"/>
    <mergeCell ref="J80:K80"/>
    <mergeCell ref="G80:H80"/>
    <mergeCell ref="L80:R80"/>
    <mergeCell ref="L81:R81"/>
    <mergeCell ref="J81:K81"/>
    <mergeCell ref="G81:H81"/>
    <mergeCell ref="B77:T77"/>
    <mergeCell ref="C76:D76"/>
    <mergeCell ref="E76:F76"/>
    <mergeCell ref="G76:H76"/>
    <mergeCell ref="J76:K76"/>
    <mergeCell ref="S81:T81"/>
    <mergeCell ref="C44:D44"/>
    <mergeCell ref="E44:F44"/>
    <mergeCell ref="G44:H44"/>
    <mergeCell ref="J44:K44"/>
    <mergeCell ref="L44:R44"/>
    <mergeCell ref="S66:T66"/>
    <mergeCell ref="B63:T63"/>
    <mergeCell ref="C61:D61"/>
    <mergeCell ref="J66:K66"/>
    <mergeCell ref="S60:T60"/>
    <mergeCell ref="E53:F53"/>
    <mergeCell ref="C58:D58"/>
    <mergeCell ref="E58:F58"/>
    <mergeCell ref="G53:H53"/>
    <mergeCell ref="J53:K53"/>
    <mergeCell ref="C53:D53"/>
    <mergeCell ref="G59:H59"/>
    <mergeCell ref="J59:K59"/>
    <mergeCell ref="L59:R59"/>
    <mergeCell ref="S59:T59"/>
    <mergeCell ref="C47:D47"/>
    <mergeCell ref="G47:H47"/>
    <mergeCell ref="J47:K47"/>
    <mergeCell ref="S57:T57"/>
    <mergeCell ref="S42:T42"/>
    <mergeCell ref="S49:T49"/>
    <mergeCell ref="S47:T47"/>
    <mergeCell ref="L68:R68"/>
    <mergeCell ref="L76:R76"/>
    <mergeCell ref="S76:T76"/>
    <mergeCell ref="J79:K79"/>
    <mergeCell ref="I6:S6"/>
    <mergeCell ref="C68:D68"/>
    <mergeCell ref="E68:F68"/>
    <mergeCell ref="C25:D25"/>
    <mergeCell ref="E25:F25"/>
    <mergeCell ref="G25:H25"/>
    <mergeCell ref="Q16:Q17"/>
    <mergeCell ref="O16:O17"/>
    <mergeCell ref="P16:P17"/>
    <mergeCell ref="S10:S11"/>
    <mergeCell ref="L53:R53"/>
    <mergeCell ref="B45:T45"/>
    <mergeCell ref="G36:H36"/>
    <mergeCell ref="L37:R37"/>
    <mergeCell ref="S16:S17"/>
    <mergeCell ref="B34:T34"/>
    <mergeCell ref="K16:M19"/>
    <mergeCell ref="C16:D16"/>
    <mergeCell ref="G58:H58"/>
    <mergeCell ref="J58:K58"/>
    <mergeCell ref="L58:R58"/>
    <mergeCell ref="S58:T58"/>
    <mergeCell ref="C59:D59"/>
    <mergeCell ref="E16:F16"/>
    <mergeCell ref="C19:D19"/>
    <mergeCell ref="G17:H17"/>
    <mergeCell ref="B22:D22"/>
    <mergeCell ref="G24:H24"/>
    <mergeCell ref="C23:D23"/>
    <mergeCell ref="E23:F23"/>
    <mergeCell ref="G23:H23"/>
    <mergeCell ref="C17:D17"/>
    <mergeCell ref="E17:F17"/>
    <mergeCell ref="G18:H18"/>
    <mergeCell ref="C18:D18"/>
    <mergeCell ref="E19:F19"/>
    <mergeCell ref="G19:H19"/>
    <mergeCell ref="E18:F18"/>
    <mergeCell ref="S25:T25"/>
    <mergeCell ref="J25:K25"/>
    <mergeCell ref="L25:R25"/>
    <mergeCell ref="V10:V11"/>
    <mergeCell ref="R16:R17"/>
    <mergeCell ref="G10:H10"/>
    <mergeCell ref="G11:H11"/>
    <mergeCell ref="G12:H12"/>
    <mergeCell ref="I10:M13"/>
    <mergeCell ref="V12:V13"/>
    <mergeCell ref="V14:V15"/>
    <mergeCell ref="G16:H16"/>
    <mergeCell ref="Q14:Q15"/>
    <mergeCell ref="V16:V17"/>
    <mergeCell ref="R14:R15"/>
    <mergeCell ref="J24:K24"/>
    <mergeCell ref="J23:K23"/>
    <mergeCell ref="Y23:AI23"/>
    <mergeCell ref="Y24:Z24"/>
    <mergeCell ref="AA24:AB24"/>
    <mergeCell ref="AC24:AD24"/>
    <mergeCell ref="AE24:AF24"/>
    <mergeCell ref="AG24:AH24"/>
    <mergeCell ref="L23:R23"/>
    <mergeCell ref="L24:R24"/>
    <mergeCell ref="S24:T24"/>
    <mergeCell ref="X23:X24"/>
    <mergeCell ref="S23:T23"/>
    <mergeCell ref="C1:D1"/>
    <mergeCell ref="G13:H13"/>
    <mergeCell ref="C15:D15"/>
    <mergeCell ref="E15:F15"/>
    <mergeCell ref="G15:H15"/>
    <mergeCell ref="C10:D10"/>
    <mergeCell ref="C11:D11"/>
    <mergeCell ref="C5:D5"/>
    <mergeCell ref="E5:F5"/>
    <mergeCell ref="G5:H5"/>
    <mergeCell ref="C6:D6"/>
    <mergeCell ref="E6:F6"/>
    <mergeCell ref="G6:H6"/>
    <mergeCell ref="C12:D12"/>
    <mergeCell ref="C13:D13"/>
    <mergeCell ref="E10:F10"/>
    <mergeCell ref="E12:F12"/>
    <mergeCell ref="E13:F13"/>
    <mergeCell ref="G3:H3"/>
    <mergeCell ref="C3:D3"/>
    <mergeCell ref="E3:F3"/>
    <mergeCell ref="E9:F9"/>
    <mergeCell ref="G9:H9"/>
    <mergeCell ref="I3:S3"/>
    <mergeCell ref="V4:V6"/>
    <mergeCell ref="E11:F11"/>
    <mergeCell ref="C4:D4"/>
    <mergeCell ref="B8:C8"/>
    <mergeCell ref="P12:P13"/>
    <mergeCell ref="K15:M15"/>
    <mergeCell ref="O10:O11"/>
    <mergeCell ref="P10:P11"/>
    <mergeCell ref="S14:S15"/>
    <mergeCell ref="R10:R11"/>
    <mergeCell ref="I9:M9"/>
    <mergeCell ref="S12:S13"/>
    <mergeCell ref="Q10:Q11"/>
    <mergeCell ref="Q12:Q13"/>
    <mergeCell ref="G4:H4"/>
    <mergeCell ref="O12:O13"/>
    <mergeCell ref="I5:S5"/>
    <mergeCell ref="I4:S4"/>
    <mergeCell ref="C9:D9"/>
    <mergeCell ref="E4:F4"/>
    <mergeCell ref="R12:R13"/>
    <mergeCell ref="P14:P15"/>
    <mergeCell ref="O14:O15"/>
    <mergeCell ref="C26:D26"/>
    <mergeCell ref="E26:F26"/>
    <mergeCell ref="G26:H26"/>
    <mergeCell ref="J26:K26"/>
    <mergeCell ref="L26:R26"/>
    <mergeCell ref="S26:T26"/>
    <mergeCell ref="L105:S105"/>
    <mergeCell ref="L106:S106"/>
    <mergeCell ref="L104:S104"/>
    <mergeCell ref="G102:H102"/>
    <mergeCell ref="I101:J102"/>
    <mergeCell ref="B98:T98"/>
    <mergeCell ref="B101:B102"/>
    <mergeCell ref="J67:K67"/>
    <mergeCell ref="L66:R66"/>
    <mergeCell ref="C79:D79"/>
    <mergeCell ref="E79:F79"/>
    <mergeCell ref="G79:H79"/>
    <mergeCell ref="S80:T80"/>
    <mergeCell ref="C81:D81"/>
    <mergeCell ref="T101:T102"/>
    <mergeCell ref="K101:K102"/>
    <mergeCell ref="L94:R94"/>
    <mergeCell ref="J93:K93"/>
    <mergeCell ref="C109:D109"/>
    <mergeCell ref="I107:J107"/>
    <mergeCell ref="I108:J108"/>
    <mergeCell ref="G106:H106"/>
    <mergeCell ref="I104:J104"/>
    <mergeCell ref="C106:D106"/>
    <mergeCell ref="G103:H103"/>
    <mergeCell ref="E93:F93"/>
    <mergeCell ref="L101:S102"/>
    <mergeCell ref="C102:D102"/>
    <mergeCell ref="G93:H93"/>
    <mergeCell ref="G94:H94"/>
    <mergeCell ref="C101:H101"/>
    <mergeCell ref="B100:C100"/>
    <mergeCell ref="S94:T94"/>
    <mergeCell ref="J94:K94"/>
    <mergeCell ref="C93:D93"/>
    <mergeCell ref="S93:T93"/>
    <mergeCell ref="L93:R93"/>
    <mergeCell ref="C97:D97"/>
    <mergeCell ref="E97:F97"/>
    <mergeCell ref="G97:H97"/>
    <mergeCell ref="J97:K97"/>
    <mergeCell ref="L97:R97"/>
    <mergeCell ref="E111:F111"/>
    <mergeCell ref="G111:H111"/>
    <mergeCell ref="L110:S110"/>
    <mergeCell ref="C110:D110"/>
    <mergeCell ref="I110:J110"/>
    <mergeCell ref="G110:H110"/>
    <mergeCell ref="G108:H108"/>
    <mergeCell ref="L107:S107"/>
    <mergeCell ref="C103:D103"/>
    <mergeCell ref="I109:J109"/>
    <mergeCell ref="E107:F107"/>
    <mergeCell ref="I103:J103"/>
    <mergeCell ref="I106:J106"/>
    <mergeCell ref="L103:S103"/>
    <mergeCell ref="C104:D104"/>
    <mergeCell ref="C105:D105"/>
    <mergeCell ref="G104:H104"/>
    <mergeCell ref="E103:F103"/>
    <mergeCell ref="E105:F105"/>
    <mergeCell ref="E104:F104"/>
    <mergeCell ref="E106:F106"/>
    <mergeCell ref="L109:S109"/>
    <mergeCell ref="C108:D108"/>
    <mergeCell ref="C107:D107"/>
    <mergeCell ref="C126:D126"/>
    <mergeCell ref="K121:S122"/>
    <mergeCell ref="C125:D125"/>
    <mergeCell ref="G123:H123"/>
    <mergeCell ref="G124:H124"/>
    <mergeCell ref="E123:F123"/>
    <mergeCell ref="E124:F124"/>
    <mergeCell ref="C123:D123"/>
    <mergeCell ref="C124:D124"/>
    <mergeCell ref="K123:S126"/>
    <mergeCell ref="E125:F125"/>
    <mergeCell ref="G125:H125"/>
    <mergeCell ref="E126:F126"/>
    <mergeCell ref="G126:H126"/>
    <mergeCell ref="J121:J122"/>
    <mergeCell ref="E113:F113"/>
    <mergeCell ref="C115:D115"/>
    <mergeCell ref="E115:F115"/>
    <mergeCell ref="L117:S117"/>
    <mergeCell ref="E102:F102"/>
    <mergeCell ref="G105:H105"/>
    <mergeCell ref="L115:S115"/>
    <mergeCell ref="L113:S113"/>
    <mergeCell ref="I105:J105"/>
    <mergeCell ref="I113:J113"/>
    <mergeCell ref="C113:D113"/>
    <mergeCell ref="G107:H107"/>
    <mergeCell ref="L112:S112"/>
    <mergeCell ref="L111:S111"/>
    <mergeCell ref="C112:D112"/>
    <mergeCell ref="E112:F112"/>
    <mergeCell ref="C111:D111"/>
    <mergeCell ref="L108:S108"/>
    <mergeCell ref="I111:J111"/>
    <mergeCell ref="G109:H109"/>
    <mergeCell ref="E110:F110"/>
    <mergeCell ref="E108:F108"/>
    <mergeCell ref="G112:H112"/>
    <mergeCell ref="I112:J112"/>
    <mergeCell ref="S48:T48"/>
    <mergeCell ref="C49:D49"/>
    <mergeCell ref="S50:T50"/>
    <mergeCell ref="L114:S114"/>
    <mergeCell ref="L116:S116"/>
    <mergeCell ref="E109:F109"/>
    <mergeCell ref="B121:B122"/>
    <mergeCell ref="C122:D122"/>
    <mergeCell ref="E122:F122"/>
    <mergeCell ref="C121:H121"/>
    <mergeCell ref="I121:I122"/>
    <mergeCell ref="G122:H122"/>
    <mergeCell ref="I115:J115"/>
    <mergeCell ref="G115:H115"/>
    <mergeCell ref="G113:H113"/>
    <mergeCell ref="G114:H114"/>
    <mergeCell ref="C114:D114"/>
    <mergeCell ref="E114:F114"/>
    <mergeCell ref="I114:J114"/>
    <mergeCell ref="B117:J117"/>
    <mergeCell ref="C116:D116"/>
    <mergeCell ref="E116:F116"/>
    <mergeCell ref="G116:H116"/>
    <mergeCell ref="I116:J116"/>
    <mergeCell ref="S56:T56"/>
    <mergeCell ref="S53:T53"/>
    <mergeCell ref="C66:D66"/>
    <mergeCell ref="B65:D65"/>
    <mergeCell ref="G54:H54"/>
    <mergeCell ref="J55:K55"/>
    <mergeCell ref="L55:R55"/>
    <mergeCell ref="S55:T55"/>
    <mergeCell ref="E49:F49"/>
    <mergeCell ref="G49:H49"/>
    <mergeCell ref="J49:K49"/>
    <mergeCell ref="L49:R49"/>
    <mergeCell ref="B51:T51"/>
    <mergeCell ref="C50:D50"/>
    <mergeCell ref="E66:F66"/>
    <mergeCell ref="C41:D41"/>
    <mergeCell ref="E41:F41"/>
    <mergeCell ref="G41:H41"/>
    <mergeCell ref="J41:K41"/>
    <mergeCell ref="L41:R41"/>
    <mergeCell ref="J48:K48"/>
    <mergeCell ref="L48:R48"/>
    <mergeCell ref="L47:R47"/>
    <mergeCell ref="G48:H48"/>
    <mergeCell ref="E47:F47"/>
    <mergeCell ref="C42:D42"/>
    <mergeCell ref="E42:F42"/>
    <mergeCell ref="G42:H42"/>
    <mergeCell ref="J42:K42"/>
    <mergeCell ref="E59:F59"/>
    <mergeCell ref="C55:D55"/>
    <mergeCell ref="E55:F55"/>
    <mergeCell ref="G55:H55"/>
    <mergeCell ref="C56:D56"/>
    <mergeCell ref="E56:F56"/>
    <mergeCell ref="G56:H56"/>
    <mergeCell ref="J56:K56"/>
    <mergeCell ref="L56:R56"/>
    <mergeCell ref="S67:T67"/>
    <mergeCell ref="J54:K54"/>
    <mergeCell ref="C60:D60"/>
    <mergeCell ref="S54:T54"/>
    <mergeCell ref="L67:R67"/>
    <mergeCell ref="G66:H66"/>
    <mergeCell ref="L54:R54"/>
    <mergeCell ref="G67:H67"/>
    <mergeCell ref="E61:F61"/>
    <mergeCell ref="G61:H61"/>
    <mergeCell ref="J61:K61"/>
    <mergeCell ref="L61:R61"/>
    <mergeCell ref="S61:T61"/>
    <mergeCell ref="C62:D62"/>
    <mergeCell ref="E62:F62"/>
    <mergeCell ref="G62:H62"/>
    <mergeCell ref="J62:K62"/>
    <mergeCell ref="L62:R62"/>
    <mergeCell ref="S62:T62"/>
    <mergeCell ref="C57:D57"/>
    <mergeCell ref="E57:F57"/>
    <mergeCell ref="G57:H57"/>
    <mergeCell ref="J57:K57"/>
    <mergeCell ref="L57:R57"/>
    <mergeCell ref="L36:R36"/>
    <mergeCell ref="S37:T37"/>
    <mergeCell ref="G37:H37"/>
    <mergeCell ref="S36:T36"/>
    <mergeCell ref="C38:D38"/>
    <mergeCell ref="E38:F38"/>
    <mergeCell ref="S40:T40"/>
    <mergeCell ref="C36:D36"/>
    <mergeCell ref="J37:K37"/>
    <mergeCell ref="E36:F36"/>
    <mergeCell ref="S39:T39"/>
    <mergeCell ref="G39:H39"/>
    <mergeCell ref="J39:K39"/>
    <mergeCell ref="G38:H38"/>
    <mergeCell ref="L39:R39"/>
    <mergeCell ref="J38:K38"/>
    <mergeCell ref="L38:R38"/>
    <mergeCell ref="J40:K40"/>
    <mergeCell ref="L40:R40"/>
    <mergeCell ref="C40:D40"/>
    <mergeCell ref="E40:F40"/>
    <mergeCell ref="G40:H40"/>
    <mergeCell ref="C32:D32"/>
    <mergeCell ref="E32:F32"/>
    <mergeCell ref="G32:H32"/>
    <mergeCell ref="J32:K32"/>
    <mergeCell ref="L32:R32"/>
    <mergeCell ref="S32:T32"/>
    <mergeCell ref="S44:T44"/>
    <mergeCell ref="C43:D43"/>
    <mergeCell ref="E43:F43"/>
    <mergeCell ref="G43:H43"/>
    <mergeCell ref="J43:K43"/>
    <mergeCell ref="L43:R43"/>
    <mergeCell ref="S43:T43"/>
    <mergeCell ref="S38:T38"/>
    <mergeCell ref="C39:D39"/>
    <mergeCell ref="E39:F39"/>
    <mergeCell ref="S41:T41"/>
    <mergeCell ref="C33:D33"/>
    <mergeCell ref="E33:F33"/>
    <mergeCell ref="G33:H33"/>
    <mergeCell ref="J33:K33"/>
    <mergeCell ref="L33:R33"/>
    <mergeCell ref="S33:T33"/>
    <mergeCell ref="J36:K36"/>
  </mergeCells>
  <conditionalFormatting sqref="E4:E6">
    <cfRule type="cellIs" dxfId="109" priority="1238" operator="equal">
      <formula>0</formula>
    </cfRule>
    <cfRule type="cellIs" dxfId="108" priority="1239" operator="greaterThan">
      <formula>0</formula>
    </cfRule>
  </conditionalFormatting>
  <conditionalFormatting sqref="E10:F13">
    <cfRule type="cellIs" dxfId="107" priority="1220" operator="greaterThan">
      <formula>0</formula>
    </cfRule>
  </conditionalFormatting>
  <conditionalFormatting sqref="E16:F19">
    <cfRule type="cellIs" dxfId="106" priority="1219" operator="greaterThan">
      <formula>0</formula>
    </cfRule>
  </conditionalFormatting>
  <conditionalFormatting sqref="G4:G6">
    <cfRule type="colorScale" priority="12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35">
      <colorScale>
        <cfvo type="min"/>
        <cfvo type="max"/>
        <color rgb="FFFF33CC"/>
        <color rgb="FFFFEF9C"/>
      </colorScale>
    </cfRule>
    <cfRule type="cellIs" dxfId="105" priority="1236" operator="equal">
      <formula>0</formula>
    </cfRule>
    <cfRule type="cellIs" dxfId="104" priority="1237" operator="greaterThan">
      <formula>0</formula>
    </cfRule>
  </conditionalFormatting>
  <conditionalFormatting sqref="G16:G21">
    <cfRule type="colorScale" priority="12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6:I19">
    <cfRule type="cellIs" dxfId="103" priority="1254" operator="lessThan">
      <formula>#REF!</formula>
    </cfRule>
    <cfRule type="cellIs" dxfId="102" priority="1255" operator="greaterThan">
      <formula>#REF!</formula>
    </cfRule>
  </conditionalFormatting>
  <conditionalFormatting sqref="I123:I126">
    <cfRule type="cellIs" dxfId="101" priority="1214" operator="lessThan">
      <formula>0</formula>
    </cfRule>
    <cfRule type="cellIs" dxfId="100" priority="1215" operator="greaterThan">
      <formula>-1</formula>
    </cfRule>
  </conditionalFormatting>
  <conditionalFormatting sqref="K103:K116">
    <cfRule type="cellIs" dxfId="99" priority="1216" operator="lessThan">
      <formula>0</formula>
    </cfRule>
    <cfRule type="cellIs" dxfId="98" priority="1217" operator="greaterThan">
      <formula>-1</formula>
    </cfRule>
  </conditionalFormatting>
  <conditionalFormatting sqref="S10:T17">
    <cfRule type="cellIs" dxfId="97" priority="1211" operator="lessThan">
      <formula>0</formula>
    </cfRule>
  </conditionalFormatting>
  <conditionalFormatting sqref="V10:V17">
    <cfRule type="cellIs" dxfId="96" priority="1213" operator="lessThan">
      <formula>0</formula>
    </cfRule>
  </conditionalFormatting>
  <conditionalFormatting sqref="G25">
    <cfRule type="cellIs" dxfId="95" priority="589" operator="equal">
      <formula>0</formula>
    </cfRule>
    <cfRule type="cellIs" dxfId="94" priority="590" operator="greaterThan">
      <formula>0</formula>
    </cfRule>
    <cfRule type="colorScale" priority="59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92">
      <colorScale>
        <cfvo type="min"/>
        <cfvo type="max"/>
        <color rgb="FFFF33CC"/>
        <color rgb="FFFFEF9C"/>
      </colorScale>
    </cfRule>
  </conditionalFormatting>
  <conditionalFormatting sqref="G94">
    <cfRule type="cellIs" dxfId="93" priority="565" operator="equal">
      <formula>0</formula>
    </cfRule>
    <cfRule type="cellIs" dxfId="92" priority="566" operator="greaterThan">
      <formula>0</formula>
    </cfRule>
    <cfRule type="colorScale" priority="5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68">
      <colorScale>
        <cfvo type="min"/>
        <cfvo type="max"/>
        <color rgb="FFFF33CC"/>
        <color rgb="FFFFEF9C"/>
      </colorScale>
    </cfRule>
  </conditionalFormatting>
  <conditionalFormatting sqref="G82">
    <cfRule type="cellIs" dxfId="91" priority="457" operator="equal">
      <formula>0</formula>
    </cfRule>
    <cfRule type="cellIs" dxfId="90" priority="458" operator="greaterThan">
      <formula>0</formula>
    </cfRule>
    <cfRule type="colorScale" priority="45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0">
      <colorScale>
        <cfvo type="min"/>
        <cfvo type="max"/>
        <color rgb="FFFF33CC"/>
        <color rgb="FFFFEF9C"/>
      </colorScale>
    </cfRule>
  </conditionalFormatting>
  <conditionalFormatting sqref="G48">
    <cfRule type="cellIs" dxfId="89" priority="389" operator="equal">
      <formula>0</formula>
    </cfRule>
    <cfRule type="cellIs" dxfId="88" priority="390" operator="greaterThan">
      <formula>0</formula>
    </cfRule>
    <cfRule type="colorScale" priority="39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2">
      <colorScale>
        <cfvo type="min"/>
        <cfvo type="max"/>
        <color rgb="FFFF33CC"/>
        <color rgb="FFFFEF9C"/>
      </colorScale>
    </cfRule>
  </conditionalFormatting>
  <conditionalFormatting sqref="G37">
    <cfRule type="cellIs" dxfId="87" priority="365" operator="equal">
      <formula>0</formula>
    </cfRule>
    <cfRule type="cellIs" dxfId="86" priority="366" operator="greaterThan">
      <formula>0</formula>
    </cfRule>
    <cfRule type="colorScale" priority="3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8">
      <colorScale>
        <cfvo type="min"/>
        <cfvo type="max"/>
        <color rgb="FFFF33CC"/>
        <color rgb="FFFFEF9C"/>
      </colorScale>
    </cfRule>
  </conditionalFormatting>
  <conditionalFormatting sqref="G81">
    <cfRule type="cellIs" dxfId="85" priority="341" operator="equal">
      <formula>0</formula>
    </cfRule>
    <cfRule type="cellIs" dxfId="84" priority="342" operator="greaterThan">
      <formula>0</formula>
    </cfRule>
    <cfRule type="colorScale" priority="34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4">
      <colorScale>
        <cfvo type="min"/>
        <cfvo type="max"/>
        <color rgb="FFFF33CC"/>
        <color rgb="FFFFEF9C"/>
      </colorScale>
    </cfRule>
  </conditionalFormatting>
  <conditionalFormatting sqref="G67">
    <cfRule type="cellIs" dxfId="83" priority="313" operator="equal">
      <formula>0</formula>
    </cfRule>
    <cfRule type="cellIs" dxfId="82" priority="314" operator="greaterThan">
      <formula>0</formula>
    </cfRule>
    <cfRule type="colorScale" priority="3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6">
      <colorScale>
        <cfvo type="min"/>
        <cfvo type="max"/>
        <color rgb="FFFF33CC"/>
        <color rgb="FFFFEF9C"/>
      </colorScale>
    </cfRule>
  </conditionalFormatting>
  <conditionalFormatting sqref="G38">
    <cfRule type="cellIs" dxfId="81" priority="301" operator="equal">
      <formula>0</formula>
    </cfRule>
    <cfRule type="cellIs" dxfId="80" priority="302" operator="greaterThan">
      <formula>0</formula>
    </cfRule>
    <cfRule type="colorScale" priority="30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4">
      <colorScale>
        <cfvo type="min"/>
        <cfvo type="max"/>
        <color rgb="FFFF33CC"/>
        <color rgb="FFFFEF9C"/>
      </colorScale>
    </cfRule>
  </conditionalFormatting>
  <conditionalFormatting sqref="G39">
    <cfRule type="cellIs" dxfId="79" priority="1304" operator="equal">
      <formula>0</formula>
    </cfRule>
    <cfRule type="cellIs" dxfId="78" priority="1305" operator="greaterThan">
      <formula>0</formula>
    </cfRule>
    <cfRule type="colorScale" priority="13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07">
      <colorScale>
        <cfvo type="min"/>
        <cfvo type="max"/>
        <color rgb="FFFF33CC"/>
        <color rgb="FFFFEF9C"/>
      </colorScale>
    </cfRule>
  </conditionalFormatting>
  <conditionalFormatting sqref="G54">
    <cfRule type="cellIs" dxfId="77" priority="225" operator="equal">
      <formula>0</formula>
    </cfRule>
    <cfRule type="cellIs" dxfId="76" priority="226" operator="greaterThan">
      <formula>0</formula>
    </cfRule>
    <cfRule type="colorScale" priority="2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8">
      <colorScale>
        <cfvo type="min"/>
        <cfvo type="max"/>
        <color rgb="FFFF33CC"/>
        <color rgb="FFFFEF9C"/>
      </colorScale>
    </cfRule>
  </conditionalFormatting>
  <conditionalFormatting sqref="G96">
    <cfRule type="cellIs" dxfId="75" priority="209" operator="equal">
      <formula>0</formula>
    </cfRule>
    <cfRule type="cellIs" dxfId="74" priority="210" operator="greaterThan">
      <formula>0</formula>
    </cfRule>
    <cfRule type="colorScale" priority="2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2">
      <colorScale>
        <cfvo type="min"/>
        <cfvo type="max"/>
        <color rgb="FFFF33CC"/>
        <color rgb="FFFFEF9C"/>
      </colorScale>
    </cfRule>
  </conditionalFormatting>
  <conditionalFormatting sqref="G89:G90">
    <cfRule type="cellIs" dxfId="73" priority="157" operator="equal">
      <formula>0</formula>
    </cfRule>
    <cfRule type="cellIs" dxfId="72" priority="158" operator="greaterThan">
      <formula>0</formula>
    </cfRule>
    <cfRule type="colorScale" priority="15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0">
      <colorScale>
        <cfvo type="min"/>
        <cfvo type="max"/>
        <color rgb="FFFF33CC"/>
        <color rgb="FFFFEF9C"/>
      </colorScale>
    </cfRule>
  </conditionalFormatting>
  <conditionalFormatting sqref="G95">
    <cfRule type="cellIs" dxfId="71" priority="133" operator="equal">
      <formula>0</formula>
    </cfRule>
    <cfRule type="cellIs" dxfId="70" priority="134" operator="greaterThan">
      <formula>0</formula>
    </cfRule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6">
      <colorScale>
        <cfvo type="min"/>
        <cfvo type="max"/>
        <color rgb="FFFF33CC"/>
        <color rgb="FFFFEF9C"/>
      </colorScale>
    </cfRule>
  </conditionalFormatting>
  <conditionalFormatting sqref="G55:G59">
    <cfRule type="cellIs" dxfId="69" priority="1324" operator="equal">
      <formula>0</formula>
    </cfRule>
    <cfRule type="cellIs" dxfId="68" priority="1325" operator="greaterThan">
      <formula>0</formula>
    </cfRule>
    <cfRule type="colorScale" priority="13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27">
      <colorScale>
        <cfvo type="min"/>
        <cfvo type="max"/>
        <color rgb="FFFF33CC"/>
        <color rgb="FFFFEF9C"/>
      </colorScale>
    </cfRule>
  </conditionalFormatting>
  <conditionalFormatting sqref="G97">
    <cfRule type="cellIs" dxfId="67" priority="101" operator="equal">
      <formula>0</formula>
    </cfRule>
    <cfRule type="cellIs" dxfId="66" priority="102" operator="greaterThan">
      <formula>0</formula>
    </cfRule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4">
      <colorScale>
        <cfvo type="min"/>
        <cfvo type="max"/>
        <color rgb="FFFF33CC"/>
        <color rgb="FFFFEF9C"/>
      </colorScale>
    </cfRule>
  </conditionalFormatting>
  <conditionalFormatting sqref="G49">
    <cfRule type="cellIs" dxfId="65" priority="97" operator="equal">
      <formula>0</formula>
    </cfRule>
    <cfRule type="cellIs" dxfId="64" priority="98" operator="greaterThan">
      <formula>0</formula>
    </cfRule>
    <cfRule type="colorScale" priority="9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0">
      <colorScale>
        <cfvo type="min"/>
        <cfvo type="max"/>
        <color rgb="FFFF33CC"/>
        <color rgb="FFFFEF9C"/>
      </colorScale>
    </cfRule>
  </conditionalFormatting>
  <conditionalFormatting sqref="G83">
    <cfRule type="cellIs" dxfId="63" priority="77" operator="equal">
      <formula>0</formula>
    </cfRule>
    <cfRule type="cellIs" dxfId="62" priority="78" operator="greaterThan">
      <formula>0</formula>
    </cfRule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0">
      <colorScale>
        <cfvo type="min"/>
        <cfvo type="max"/>
        <color rgb="FFFF33CC"/>
        <color rgb="FFFFEF9C"/>
      </colorScale>
    </cfRule>
  </conditionalFormatting>
  <conditionalFormatting sqref="G84">
    <cfRule type="cellIs" dxfId="61" priority="73" operator="equal">
      <formula>0</formula>
    </cfRule>
    <cfRule type="cellIs" dxfId="60" priority="74" operator="greaterThan">
      <formula>0</formula>
    </cfRule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6">
      <colorScale>
        <cfvo type="min"/>
        <cfvo type="max"/>
        <color rgb="FFFF33CC"/>
        <color rgb="FFFFEF9C"/>
      </colorScale>
    </cfRule>
  </conditionalFormatting>
  <conditionalFormatting sqref="G80">
    <cfRule type="cellIs" dxfId="59" priority="69" operator="equal">
      <formula>0</formula>
    </cfRule>
    <cfRule type="cellIs" dxfId="58" priority="70" operator="greaterThan">
      <formula>0</formula>
    </cfRule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2">
      <colorScale>
        <cfvo type="min"/>
        <cfvo type="max"/>
        <color rgb="FFFF33CC"/>
        <color rgb="FFFFEF9C"/>
      </colorScale>
    </cfRule>
  </conditionalFormatting>
  <conditionalFormatting sqref="G26:G30">
    <cfRule type="cellIs" dxfId="57" priority="65" operator="equal">
      <formula>0</formula>
    </cfRule>
    <cfRule type="cellIs" dxfId="56" priority="66" operator="greaterThan">
      <formula>0</formula>
    </cfRule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8">
      <colorScale>
        <cfvo type="min"/>
        <cfvo type="max"/>
        <color rgb="FFFF33CC"/>
        <color rgb="FFFFEF9C"/>
      </colorScale>
    </cfRule>
  </conditionalFormatting>
  <conditionalFormatting sqref="G24">
    <cfRule type="cellIs" dxfId="55" priority="61" operator="equal">
      <formula>0</formula>
    </cfRule>
    <cfRule type="cellIs" dxfId="54" priority="62" operator="greaterThan">
      <formula>0</formula>
    </cfRule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4">
      <colorScale>
        <cfvo type="min"/>
        <cfvo type="max"/>
        <color rgb="FFFF33CC"/>
        <color rgb="FFFFEF9C"/>
      </colorScale>
    </cfRule>
  </conditionalFormatting>
  <conditionalFormatting sqref="G41">
    <cfRule type="cellIs" dxfId="53" priority="57" operator="equal">
      <formula>0</formula>
    </cfRule>
    <cfRule type="cellIs" dxfId="52" priority="58" operator="greaterThan">
      <formula>0</formula>
    </cfRule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0">
      <colorScale>
        <cfvo type="min"/>
        <cfvo type="max"/>
        <color rgb="FFFF33CC"/>
        <color rgb="FFFFEF9C"/>
      </colorScale>
    </cfRule>
  </conditionalFormatting>
  <conditionalFormatting sqref="G42">
    <cfRule type="cellIs" dxfId="51" priority="53" operator="equal">
      <formula>0</formula>
    </cfRule>
    <cfRule type="cellIs" dxfId="50" priority="54" operator="greaterThan">
      <formula>0</formula>
    </cfRule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6">
      <colorScale>
        <cfvo type="min"/>
        <cfvo type="max"/>
        <color rgb="FFFF33CC"/>
        <color rgb="FFFFEF9C"/>
      </colorScale>
    </cfRule>
  </conditionalFormatting>
  <conditionalFormatting sqref="G43">
    <cfRule type="cellIs" dxfId="49" priority="49" operator="equal">
      <formula>0</formula>
    </cfRule>
    <cfRule type="cellIs" dxfId="48" priority="50" operator="greaterThan">
      <formula>0</formula>
    </cfRule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2">
      <colorScale>
        <cfvo type="min"/>
        <cfvo type="max"/>
        <color rgb="FFFF33CC"/>
        <color rgb="FFFFEF9C"/>
      </colorScale>
    </cfRule>
  </conditionalFormatting>
  <conditionalFormatting sqref="G85">
    <cfRule type="cellIs" dxfId="47" priority="41" operator="equal">
      <formula>0</formula>
    </cfRule>
    <cfRule type="cellIs" dxfId="46" priority="42" operator="greaterThan">
      <formula>0</formula>
    </cfRule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">
      <colorScale>
        <cfvo type="min"/>
        <cfvo type="max"/>
        <color rgb="FFFF33CC"/>
        <color rgb="FFFFEF9C"/>
      </colorScale>
    </cfRule>
  </conditionalFormatting>
  <conditionalFormatting sqref="G86">
    <cfRule type="cellIs" dxfId="45" priority="37" operator="equal">
      <formula>0</formula>
    </cfRule>
    <cfRule type="cellIs" dxfId="44" priority="38" operator="greaterThan">
      <formula>0</formula>
    </cfRule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">
      <colorScale>
        <cfvo type="min"/>
        <cfvo type="max"/>
        <color rgb="FFFF33CC"/>
        <color rgb="FFFFEF9C"/>
      </colorScale>
    </cfRule>
  </conditionalFormatting>
  <conditionalFormatting sqref="G87">
    <cfRule type="cellIs" dxfId="43" priority="33" operator="equal">
      <formula>0</formula>
    </cfRule>
    <cfRule type="cellIs" dxfId="42" priority="34" operator="greaterThan">
      <formula>0</formula>
    </cfRule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">
      <colorScale>
        <cfvo type="min"/>
        <cfvo type="max"/>
        <color rgb="FFFF33CC"/>
        <color rgb="FFFFEF9C"/>
      </colorScale>
    </cfRule>
  </conditionalFormatting>
  <conditionalFormatting sqref="G60:G61">
    <cfRule type="cellIs" dxfId="41" priority="29" operator="equal">
      <formula>0</formula>
    </cfRule>
    <cfRule type="cellIs" dxfId="40" priority="30" operator="greaterThan">
      <formula>0</formula>
    </cfRule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">
      <colorScale>
        <cfvo type="min"/>
        <cfvo type="max"/>
        <color rgb="FFFF33CC"/>
        <color rgb="FFFFEF9C"/>
      </colorScale>
    </cfRule>
  </conditionalFormatting>
  <conditionalFormatting sqref="G88">
    <cfRule type="cellIs" dxfId="39" priority="25" operator="equal">
      <formula>0</formula>
    </cfRule>
    <cfRule type="cellIs" dxfId="38" priority="26" operator="greaterThan">
      <formula>0</formula>
    </cfRule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max"/>
        <color rgb="FFFF33CC"/>
        <color rgb="FFFFEF9C"/>
      </colorScale>
    </cfRule>
  </conditionalFormatting>
  <conditionalFormatting sqref="G70">
    <cfRule type="cellIs" dxfId="37" priority="21" operator="equal">
      <formula>0</formula>
    </cfRule>
    <cfRule type="cellIs" dxfId="36" priority="22" operator="greaterThan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">
      <colorScale>
        <cfvo type="min"/>
        <cfvo type="max"/>
        <color rgb="FFFF33CC"/>
        <color rgb="FFFFEF9C"/>
      </colorScale>
    </cfRule>
  </conditionalFormatting>
  <conditionalFormatting sqref="G71">
    <cfRule type="cellIs" dxfId="35" priority="17" operator="equal">
      <formula>0</formula>
    </cfRule>
    <cfRule type="cellIs" dxfId="34" priority="18" operator="greaterThan">
      <formula>0</formula>
    </cfRule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">
      <colorScale>
        <cfvo type="min"/>
        <cfvo type="max"/>
        <color rgb="FFFF33CC"/>
        <color rgb="FFFFEF9C"/>
      </colorScale>
    </cfRule>
  </conditionalFormatting>
  <conditionalFormatting sqref="G72">
    <cfRule type="cellIs" dxfId="33" priority="13" operator="equal">
      <formula>0</formula>
    </cfRule>
    <cfRule type="cellIs" dxfId="32" priority="14" operator="greaterThan">
      <formula>0</formula>
    </cfRule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">
      <colorScale>
        <cfvo type="min"/>
        <cfvo type="max"/>
        <color rgb="FFFF33CC"/>
        <color rgb="FFFFEF9C"/>
      </colorScale>
    </cfRule>
  </conditionalFormatting>
  <conditionalFormatting sqref="G73">
    <cfRule type="cellIs" dxfId="31" priority="9" operator="equal">
      <formula>0</formula>
    </cfRule>
    <cfRule type="cellIs" dxfId="30" priority="10" operator="greaterThan">
      <formula>0</formula>
    </cfRule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">
      <colorScale>
        <cfvo type="min"/>
        <cfvo type="max"/>
        <color rgb="FFFF33CC"/>
        <color rgb="FFFFEF9C"/>
      </colorScale>
    </cfRule>
  </conditionalFormatting>
  <conditionalFormatting sqref="G74">
    <cfRule type="cellIs" dxfId="29" priority="5" operator="equal">
      <formula>0</formula>
    </cfRule>
    <cfRule type="cellIs" dxfId="28" priority="6" operator="greaterThan">
      <formula>0</formula>
    </cfRule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">
      <colorScale>
        <cfvo type="min"/>
        <cfvo type="max"/>
        <color rgb="FFFF33CC"/>
        <color rgb="FFFFEF9C"/>
      </colorScale>
    </cfRule>
  </conditionalFormatting>
  <conditionalFormatting sqref="G75">
    <cfRule type="cellIs" dxfId="27" priority="1" operator="equal">
      <formula>0</formula>
    </cfRule>
    <cfRule type="cellIs" dxfId="26" priority="2" operator="greaterThan">
      <formula>0</formula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max"/>
        <color rgb="FFFF33CC"/>
        <color rgb="FFFFEF9C"/>
      </colorScale>
    </cfRule>
  </conditionalFormatting>
  <conditionalFormatting sqref="G68:G69">
    <cfRule type="cellIs" dxfId="25" priority="1328" operator="equal">
      <formula>0</formula>
    </cfRule>
    <cfRule type="cellIs" dxfId="24" priority="1329" operator="greaterThan">
      <formula>0</formula>
    </cfRule>
    <cfRule type="colorScale" priority="13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31">
      <colorScale>
        <cfvo type="min"/>
        <cfvo type="max"/>
        <color rgb="FFFF33CC"/>
        <color rgb="FFFFEF9C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9868C-93A4-4B0A-8804-7A3E6A0516D1}">
  <dimension ref="B2:U119"/>
  <sheetViews>
    <sheetView showGridLines="0" tabSelected="1" topLeftCell="F31" workbookViewId="0">
      <selection activeCell="K11" sqref="K11:L11"/>
    </sheetView>
  </sheetViews>
  <sheetFormatPr defaultRowHeight="15"/>
  <cols>
    <col min="2" max="2" width="41.85546875" customWidth="1"/>
    <col min="3" max="3" width="50.85546875" customWidth="1"/>
    <col min="4" max="4" width="16.140625" bestFit="1" customWidth="1"/>
    <col min="5" max="5" width="15.28515625" bestFit="1" customWidth="1"/>
    <col min="6" max="6" width="35" customWidth="1"/>
    <col min="7" max="7" width="24.7109375" bestFit="1" customWidth="1"/>
    <col min="8" max="8" width="19.5703125" bestFit="1" customWidth="1"/>
    <col min="9" max="9" width="21.140625" bestFit="1" customWidth="1"/>
    <col min="10" max="10" width="21.42578125" bestFit="1" customWidth="1"/>
    <col min="11" max="12" width="31.42578125" customWidth="1"/>
    <col min="13" max="13" width="38.42578125" customWidth="1"/>
    <col min="14" max="14" width="35.7109375" customWidth="1"/>
    <col min="15" max="15" width="23" customWidth="1"/>
    <col min="16" max="16" width="9.140625" bestFit="1" customWidth="1"/>
    <col min="16384" max="16384" width="9.140625" bestFit="1" customWidth="1"/>
  </cols>
  <sheetData>
    <row r="2" spans="2:21" ht="31.5">
      <c r="B2" s="34" t="s">
        <v>183</v>
      </c>
      <c r="C2" s="35"/>
      <c r="D2" s="35"/>
      <c r="E2" s="35"/>
      <c r="F2" s="35"/>
      <c r="G2" s="35"/>
      <c r="H2" s="36"/>
      <c r="I2" s="36"/>
      <c r="J2" s="36"/>
      <c r="K2" s="37"/>
      <c r="L2" s="37"/>
      <c r="M2" s="36"/>
      <c r="N2" s="38"/>
      <c r="O2" s="39"/>
      <c r="P2" s="39"/>
      <c r="Q2" s="39"/>
      <c r="R2" s="39"/>
      <c r="S2" s="40"/>
    </row>
    <row r="3" spans="2:21" ht="41.25" customHeight="1">
      <c r="B3" s="34" t="s">
        <v>184</v>
      </c>
      <c r="C3" s="41"/>
      <c r="F3" s="264"/>
      <c r="G3" s="264"/>
      <c r="H3" s="36"/>
      <c r="I3" s="36"/>
      <c r="J3" s="36"/>
      <c r="K3" s="37"/>
      <c r="L3" s="37"/>
      <c r="M3" s="36"/>
      <c r="N3" s="38"/>
      <c r="O3" s="39"/>
      <c r="P3" s="39"/>
      <c r="Q3" s="39"/>
      <c r="R3" s="39"/>
      <c r="S3" s="39"/>
    </row>
    <row r="4" spans="2:21" ht="23.25">
      <c r="B4" s="42" t="s">
        <v>185</v>
      </c>
      <c r="C4" s="42" t="s">
        <v>2</v>
      </c>
      <c r="D4" s="42" t="s">
        <v>3</v>
      </c>
      <c r="E4" s="43" t="s">
        <v>28</v>
      </c>
      <c r="F4" s="241" t="s">
        <v>186</v>
      </c>
      <c r="G4" s="241"/>
      <c r="H4" s="242" t="s">
        <v>5</v>
      </c>
      <c r="I4" s="242"/>
      <c r="J4" s="242"/>
      <c r="K4" s="261" t="s">
        <v>187</v>
      </c>
      <c r="L4" s="261"/>
      <c r="M4" s="269" t="s">
        <v>188</v>
      </c>
      <c r="N4" s="269"/>
      <c r="O4" s="269"/>
      <c r="P4" s="44" t="s">
        <v>6</v>
      </c>
    </row>
    <row r="5" spans="2:21" ht="60" customHeight="1">
      <c r="B5" s="45" t="s">
        <v>189</v>
      </c>
      <c r="C5" s="46">
        <v>1</v>
      </c>
      <c r="D5" s="46">
        <v>1</v>
      </c>
      <c r="E5" s="171">
        <f>+C5-D5</f>
        <v>0</v>
      </c>
      <c r="F5" s="239"/>
      <c r="G5" s="239"/>
      <c r="H5" s="258"/>
      <c r="I5" s="258"/>
      <c r="J5" s="258"/>
      <c r="K5" s="262" t="s">
        <v>190</v>
      </c>
      <c r="L5" s="262"/>
      <c r="M5" s="239" t="s">
        <v>191</v>
      </c>
      <c r="N5" s="239"/>
      <c r="O5" s="240"/>
      <c r="P5" s="288" t="s">
        <v>192</v>
      </c>
    </row>
    <row r="6" spans="2:21" ht="23.25">
      <c r="B6" s="45" t="s">
        <v>193</v>
      </c>
      <c r="C6" s="46">
        <v>1</v>
      </c>
      <c r="D6" s="46">
        <v>1</v>
      </c>
      <c r="E6" s="171">
        <f>+C6-D6</f>
        <v>0</v>
      </c>
      <c r="F6" s="239"/>
      <c r="G6" s="239"/>
      <c r="H6" s="258"/>
      <c r="I6" s="258"/>
      <c r="J6" s="258"/>
      <c r="K6" s="262"/>
      <c r="L6" s="262"/>
      <c r="M6" s="239"/>
      <c r="N6" s="239"/>
      <c r="O6" s="240"/>
      <c r="P6" s="288"/>
      <c r="U6" s="172"/>
    </row>
    <row r="7" spans="2:21" ht="24" customHeight="1">
      <c r="B7" s="45" t="s">
        <v>194</v>
      </c>
      <c r="C7" s="46">
        <v>1</v>
      </c>
      <c r="D7" s="46">
        <v>1</v>
      </c>
      <c r="E7" s="171">
        <f>+C7-D7</f>
        <v>0</v>
      </c>
      <c r="F7" s="238" t="s">
        <v>195</v>
      </c>
      <c r="G7" s="238"/>
      <c r="H7" s="259" t="s">
        <v>196</v>
      </c>
      <c r="I7" s="259"/>
      <c r="J7" s="259"/>
      <c r="K7" s="263"/>
      <c r="L7" s="263"/>
      <c r="M7" s="270"/>
      <c r="N7" s="270"/>
      <c r="O7" s="271"/>
      <c r="P7" s="288"/>
      <c r="U7" s="173"/>
    </row>
    <row r="8" spans="2:21" ht="24.75" customHeight="1">
      <c r="B8" s="45" t="s">
        <v>197</v>
      </c>
      <c r="C8" s="46">
        <v>1</v>
      </c>
      <c r="D8" s="46">
        <v>1</v>
      </c>
      <c r="E8" s="171">
        <f>+C8-D8</f>
        <v>0</v>
      </c>
      <c r="F8" s="238"/>
      <c r="G8" s="238"/>
      <c r="H8" s="257"/>
      <c r="I8" s="240"/>
      <c r="J8" s="240"/>
      <c r="K8" s="262"/>
      <c r="L8" s="262"/>
      <c r="M8" s="239"/>
      <c r="N8" s="239"/>
      <c r="O8" s="240"/>
      <c r="P8" s="288"/>
      <c r="U8" s="173"/>
    </row>
    <row r="9" spans="2:21" ht="47.25" customHeight="1">
      <c r="B9" s="45" t="s">
        <v>198</v>
      </c>
      <c r="C9" s="46">
        <v>1</v>
      </c>
      <c r="D9" s="46">
        <v>1</v>
      </c>
      <c r="E9" s="171">
        <f>+C9-D9</f>
        <v>0</v>
      </c>
      <c r="F9" s="239"/>
      <c r="G9" s="239"/>
      <c r="H9" s="260"/>
      <c r="I9" s="260"/>
      <c r="J9" s="260"/>
      <c r="K9" s="263" t="s">
        <v>199</v>
      </c>
      <c r="L9" s="263"/>
      <c r="M9" s="239" t="s">
        <v>200</v>
      </c>
      <c r="N9" s="239"/>
      <c r="O9" s="240"/>
      <c r="P9" s="288"/>
      <c r="U9" s="172"/>
    </row>
    <row r="10" spans="2:21" ht="23.25">
      <c r="B10" s="45" t="s">
        <v>17</v>
      </c>
      <c r="C10" s="46">
        <v>1</v>
      </c>
      <c r="D10" s="46">
        <v>1</v>
      </c>
      <c r="E10" s="171">
        <f>+C10-D10</f>
        <v>0</v>
      </c>
      <c r="F10" s="267"/>
      <c r="G10" s="267"/>
      <c r="H10" s="257"/>
      <c r="I10" s="257"/>
      <c r="J10" s="257"/>
      <c r="K10" s="262"/>
      <c r="L10" s="262"/>
      <c r="M10" s="239"/>
      <c r="N10" s="239"/>
      <c r="O10" s="240"/>
      <c r="P10" s="288"/>
      <c r="U10" s="172"/>
    </row>
    <row r="11" spans="2:21" ht="181.5" customHeight="1">
      <c r="B11" s="47" t="s">
        <v>201</v>
      </c>
      <c r="C11" s="46">
        <v>1</v>
      </c>
      <c r="D11" s="46">
        <v>1</v>
      </c>
      <c r="E11" s="171">
        <f>+C11-D11</f>
        <v>0</v>
      </c>
      <c r="F11" s="238"/>
      <c r="G11" s="238"/>
      <c r="H11" s="259"/>
      <c r="I11" s="259"/>
      <c r="J11" s="259"/>
      <c r="K11" s="262" t="s">
        <v>202</v>
      </c>
      <c r="L11" s="262"/>
      <c r="M11" s="239" t="s">
        <v>203</v>
      </c>
      <c r="N11" s="239"/>
      <c r="O11" s="240"/>
      <c r="P11" s="288"/>
      <c r="U11" s="173"/>
    </row>
    <row r="12" spans="2:21" ht="122.25" customHeight="1">
      <c r="B12" s="45" t="s">
        <v>204</v>
      </c>
      <c r="C12" s="46">
        <v>1</v>
      </c>
      <c r="D12" s="46">
        <v>1</v>
      </c>
      <c r="E12" s="171">
        <f>+C12-D12</f>
        <v>0</v>
      </c>
      <c r="F12" s="266"/>
      <c r="G12" s="266"/>
      <c r="H12" s="257"/>
      <c r="I12" s="257"/>
      <c r="J12" s="257"/>
      <c r="K12" s="262" t="s">
        <v>205</v>
      </c>
      <c r="L12" s="262"/>
      <c r="M12" s="240" t="s">
        <v>206</v>
      </c>
      <c r="N12" s="240"/>
      <c r="O12" s="240"/>
      <c r="P12" s="288"/>
      <c r="U12" s="77"/>
    </row>
    <row r="13" spans="2:21" ht="51.75" customHeight="1">
      <c r="B13" s="45" t="s">
        <v>21</v>
      </c>
      <c r="C13" s="46">
        <v>1</v>
      </c>
      <c r="D13" s="46">
        <v>1</v>
      </c>
      <c r="E13" s="171">
        <f>+C13-D13</f>
        <v>0</v>
      </c>
      <c r="F13" s="266"/>
      <c r="G13" s="266"/>
      <c r="H13" s="257"/>
      <c r="I13" s="257"/>
      <c r="J13" s="257"/>
      <c r="K13" s="262"/>
      <c r="L13" s="262"/>
      <c r="M13" s="289"/>
      <c r="N13" s="289"/>
      <c r="O13" s="290"/>
      <c r="P13" s="288"/>
      <c r="U13" s="77"/>
    </row>
    <row r="14" spans="2:21" ht="23.25">
      <c r="B14" s="45" t="s">
        <v>207</v>
      </c>
      <c r="C14" s="46">
        <v>1</v>
      </c>
      <c r="D14" s="46">
        <v>1</v>
      </c>
      <c r="E14" s="171">
        <f>+C14-D14</f>
        <v>0</v>
      </c>
      <c r="F14" s="266"/>
      <c r="G14" s="266"/>
      <c r="H14" s="257"/>
      <c r="I14" s="257"/>
      <c r="J14" s="257"/>
      <c r="K14" s="262"/>
      <c r="L14" s="262"/>
      <c r="M14" s="239"/>
      <c r="N14" s="239"/>
      <c r="O14" s="240"/>
      <c r="P14" s="288"/>
      <c r="U14" s="172"/>
    </row>
    <row r="15" spans="2:21" ht="23.25">
      <c r="B15" s="45" t="s">
        <v>208</v>
      </c>
      <c r="C15" s="46">
        <v>1</v>
      </c>
      <c r="D15" s="46">
        <v>1</v>
      </c>
      <c r="E15" s="171">
        <f>+C15-D15</f>
        <v>0</v>
      </c>
      <c r="F15" s="266"/>
      <c r="G15" s="266"/>
      <c r="H15" s="257"/>
      <c r="I15" s="257"/>
      <c r="J15" s="257"/>
      <c r="K15" s="240"/>
      <c r="L15" s="240"/>
      <c r="M15" s="239"/>
      <c r="N15" s="239"/>
      <c r="O15" s="240"/>
      <c r="P15" s="288"/>
      <c r="U15" s="174"/>
    </row>
    <row r="16" spans="2:21" ht="21">
      <c r="B16" s="20"/>
      <c r="C16" s="41"/>
      <c r="D16" s="36"/>
      <c r="E16" s="36"/>
      <c r="F16" s="36"/>
      <c r="G16" s="36"/>
      <c r="H16" s="36"/>
      <c r="I16" s="36"/>
      <c r="J16" s="36"/>
      <c r="K16" s="37"/>
      <c r="L16" s="37"/>
      <c r="M16" s="36"/>
      <c r="N16" s="38"/>
      <c r="O16" s="39"/>
      <c r="P16" s="39"/>
      <c r="Q16" s="39"/>
      <c r="R16" s="39"/>
      <c r="S16" s="39"/>
    </row>
    <row r="17" spans="2:20" ht="31.5">
      <c r="B17" s="34" t="s">
        <v>209</v>
      </c>
      <c r="C17" s="41"/>
      <c r="D17" s="36"/>
      <c r="E17" s="36"/>
      <c r="F17" s="36"/>
      <c r="G17" s="36"/>
      <c r="H17" s="36"/>
      <c r="I17" s="36"/>
      <c r="J17" s="36"/>
      <c r="K17" s="37"/>
      <c r="L17" s="37"/>
      <c r="M17" s="36"/>
      <c r="N17" s="38"/>
      <c r="O17" s="39"/>
      <c r="P17" s="39"/>
      <c r="Q17" s="39"/>
      <c r="R17" s="39"/>
      <c r="S17" s="39"/>
    </row>
    <row r="18" spans="2:20" ht="23.25">
      <c r="B18" s="48" t="s">
        <v>185</v>
      </c>
      <c r="C18" s="48" t="s">
        <v>2</v>
      </c>
      <c r="D18" s="48" t="s">
        <v>3</v>
      </c>
      <c r="E18" s="48" t="s">
        <v>28</v>
      </c>
      <c r="F18" s="49" t="s">
        <v>210</v>
      </c>
      <c r="G18" s="49" t="s">
        <v>211</v>
      </c>
      <c r="H18" s="50" t="s">
        <v>212</v>
      </c>
      <c r="I18" s="50" t="s">
        <v>213</v>
      </c>
      <c r="J18" s="90" t="s">
        <v>214</v>
      </c>
      <c r="K18" s="286" t="s">
        <v>5</v>
      </c>
      <c r="L18" s="286"/>
      <c r="M18" s="286"/>
      <c r="N18" s="286"/>
      <c r="O18" s="286"/>
      <c r="P18" s="286"/>
      <c r="Q18" s="286"/>
      <c r="R18" s="286"/>
      <c r="S18" s="286"/>
    </row>
    <row r="19" spans="2:20" ht="26.25">
      <c r="B19" s="51" t="s">
        <v>215</v>
      </c>
      <c r="C19" s="52">
        <v>1</v>
      </c>
      <c r="D19" s="52">
        <f>I19/H19</f>
        <v>0.38216560509554143</v>
      </c>
      <c r="E19" s="53">
        <f>+C19-D19</f>
        <v>0.61783439490445857</v>
      </c>
      <c r="F19" s="54">
        <v>46265</v>
      </c>
      <c r="G19" s="62"/>
      <c r="H19" s="55">
        <v>157</v>
      </c>
      <c r="I19" s="55">
        <v>60</v>
      </c>
      <c r="J19" s="57">
        <f>I19-H19</f>
        <v>-97</v>
      </c>
      <c r="K19" s="273" t="s">
        <v>216</v>
      </c>
      <c r="L19" s="273"/>
      <c r="M19" s="273"/>
      <c r="N19" s="273"/>
      <c r="O19" s="273"/>
      <c r="P19" s="273"/>
      <c r="Q19" s="273"/>
      <c r="R19" s="273"/>
      <c r="S19" s="273"/>
    </row>
    <row r="20" spans="2:20" ht="26.25" customHeight="1">
      <c r="B20" s="51" t="s">
        <v>217</v>
      </c>
      <c r="C20" s="52">
        <v>1</v>
      </c>
      <c r="D20" s="52">
        <f>I20/H20</f>
        <v>0.60824742268041232</v>
      </c>
      <c r="E20" s="53">
        <f>+C20-D20</f>
        <v>0.39175257731958768</v>
      </c>
      <c r="F20" s="54">
        <v>46265</v>
      </c>
      <c r="G20" s="54"/>
      <c r="H20" s="55">
        <v>97</v>
      </c>
      <c r="I20" s="55">
        <v>59</v>
      </c>
      <c r="J20" s="57">
        <f>I20-H20</f>
        <v>-38</v>
      </c>
      <c r="K20" s="273" t="s">
        <v>216</v>
      </c>
      <c r="L20" s="273"/>
      <c r="M20" s="273"/>
      <c r="N20" s="273"/>
      <c r="O20" s="273"/>
      <c r="P20" s="273"/>
      <c r="Q20" s="273"/>
      <c r="R20" s="273"/>
      <c r="S20" s="273"/>
    </row>
    <row r="21" spans="2:20" ht="26.25" customHeight="1">
      <c r="B21" s="51" t="s">
        <v>218</v>
      </c>
      <c r="C21" s="52">
        <v>1</v>
      </c>
      <c r="D21" s="52">
        <f>I21/H21</f>
        <v>1</v>
      </c>
      <c r="E21" s="53">
        <f>+C21-D21</f>
        <v>0</v>
      </c>
      <c r="F21" s="54"/>
      <c r="G21" s="54"/>
      <c r="H21" s="55">
        <v>25</v>
      </c>
      <c r="I21" s="55">
        <v>25</v>
      </c>
      <c r="J21" s="57">
        <f>I21-H21</f>
        <v>0</v>
      </c>
      <c r="K21" s="268" t="s">
        <v>219</v>
      </c>
      <c r="L21" s="268"/>
      <c r="M21" s="268"/>
      <c r="N21" s="268"/>
      <c r="O21" s="268"/>
      <c r="P21" s="268"/>
      <c r="Q21" s="268"/>
      <c r="R21" s="268"/>
      <c r="S21" s="268"/>
    </row>
    <row r="22" spans="2:20" ht="26.25">
      <c r="B22" s="56" t="s">
        <v>220</v>
      </c>
      <c r="C22" s="52">
        <v>1</v>
      </c>
      <c r="D22" s="52">
        <f>I22/H22</f>
        <v>0.63414634146341464</v>
      </c>
      <c r="E22" s="53">
        <f>+C22-D22</f>
        <v>0.36585365853658536</v>
      </c>
      <c r="F22" s="54">
        <v>46265</v>
      </c>
      <c r="G22" s="54"/>
      <c r="H22" s="55">
        <v>41</v>
      </c>
      <c r="I22" s="55">
        <v>26</v>
      </c>
      <c r="J22" s="57">
        <f>I22-H22</f>
        <v>-15</v>
      </c>
      <c r="K22" s="273" t="s">
        <v>216</v>
      </c>
      <c r="L22" s="273"/>
      <c r="M22" s="273"/>
      <c r="N22" s="273"/>
      <c r="O22" s="273"/>
      <c r="P22" s="273"/>
      <c r="Q22" s="273"/>
      <c r="R22" s="273"/>
      <c r="S22" s="273"/>
    </row>
    <row r="23" spans="2:20" ht="26.25" customHeight="1">
      <c r="B23" s="56" t="s">
        <v>221</v>
      </c>
      <c r="C23" s="52">
        <v>1</v>
      </c>
      <c r="D23" s="52">
        <f>I23/H23</f>
        <v>1</v>
      </c>
      <c r="E23" s="53">
        <f>+C23-D23</f>
        <v>0</v>
      </c>
      <c r="F23" s="54"/>
      <c r="G23" s="54"/>
      <c r="H23" s="55">
        <v>11</v>
      </c>
      <c r="I23" s="55">
        <v>11</v>
      </c>
      <c r="J23" s="57">
        <f>I23-H23</f>
        <v>0</v>
      </c>
      <c r="K23" s="268" t="s">
        <v>219</v>
      </c>
      <c r="L23" s="268"/>
      <c r="M23" s="268"/>
      <c r="N23" s="268"/>
      <c r="O23" s="268"/>
      <c r="P23" s="268"/>
      <c r="Q23" s="268"/>
      <c r="R23" s="268"/>
      <c r="S23" s="268"/>
    </row>
    <row r="24" spans="2:20" ht="25.5" customHeight="1">
      <c r="B24" s="56" t="s">
        <v>194</v>
      </c>
      <c r="C24" s="52">
        <v>1</v>
      </c>
      <c r="D24" s="52">
        <f>I24/H24</f>
        <v>0.65116279069767447</v>
      </c>
      <c r="E24" s="53">
        <f>+C24-D24</f>
        <v>0.34883720930232553</v>
      </c>
      <c r="F24" s="54">
        <v>46265</v>
      </c>
      <c r="G24" s="54"/>
      <c r="H24" s="55">
        <v>43</v>
      </c>
      <c r="I24" s="55">
        <v>28</v>
      </c>
      <c r="J24" s="57">
        <f>I24-H24</f>
        <v>-15</v>
      </c>
      <c r="K24" s="273" t="s">
        <v>222</v>
      </c>
      <c r="L24" s="273"/>
      <c r="M24" s="273"/>
      <c r="N24" s="273"/>
      <c r="O24" s="273"/>
      <c r="P24" s="273"/>
      <c r="Q24" s="273"/>
      <c r="R24" s="273"/>
      <c r="S24" s="273"/>
    </row>
    <row r="25" spans="2:20" ht="26.25">
      <c r="B25" s="58" t="s">
        <v>223</v>
      </c>
      <c r="C25" s="52">
        <v>1</v>
      </c>
      <c r="D25" s="52">
        <v>1</v>
      </c>
      <c r="E25" s="53">
        <f>+C25-D25</f>
        <v>0</v>
      </c>
      <c r="F25" s="54">
        <v>46246</v>
      </c>
      <c r="G25" s="54"/>
      <c r="H25" s="55">
        <v>600</v>
      </c>
      <c r="I25" s="55">
        <v>600</v>
      </c>
      <c r="J25" s="57">
        <f>I25-H25</f>
        <v>0</v>
      </c>
      <c r="K25" s="268" t="s">
        <v>219</v>
      </c>
      <c r="L25" s="268"/>
      <c r="M25" s="268"/>
      <c r="N25" s="268"/>
      <c r="O25" s="268"/>
      <c r="P25" s="268"/>
      <c r="Q25" s="268"/>
      <c r="R25" s="268"/>
      <c r="S25" s="268"/>
    </row>
    <row r="26" spans="2:20" ht="72.75" customHeight="1">
      <c r="B26" s="59" t="s">
        <v>224</v>
      </c>
      <c r="C26" s="52">
        <v>1</v>
      </c>
      <c r="D26" s="52">
        <f>I26/H26</f>
        <v>0.71663660955816055</v>
      </c>
      <c r="E26" s="53">
        <f>+C26-D26</f>
        <v>0.28336339044183945</v>
      </c>
      <c r="F26" s="54">
        <v>46239</v>
      </c>
      <c r="G26" s="54"/>
      <c r="H26" s="55">
        <f>1579+2857</f>
        <v>4436</v>
      </c>
      <c r="I26" s="55">
        <f>1579+1600</f>
        <v>3179</v>
      </c>
      <c r="J26" s="57">
        <f>I26-H26</f>
        <v>-1257</v>
      </c>
      <c r="K26" s="287" t="s">
        <v>225</v>
      </c>
      <c r="L26" s="287"/>
      <c r="M26" s="287"/>
      <c r="N26" s="287"/>
      <c r="O26" s="287"/>
      <c r="P26" s="287"/>
      <c r="Q26" s="287"/>
      <c r="R26" s="287"/>
      <c r="S26" s="287"/>
    </row>
    <row r="27" spans="2:20" ht="26.25">
      <c r="B27" s="60" t="s">
        <v>201</v>
      </c>
      <c r="C27" s="52" t="s">
        <v>226</v>
      </c>
      <c r="D27" s="52" t="s">
        <v>226</v>
      </c>
      <c r="E27" s="53"/>
      <c r="F27" s="54"/>
      <c r="G27" s="54"/>
      <c r="H27" s="55"/>
      <c r="I27" s="189"/>
      <c r="J27" s="57"/>
      <c r="K27" s="268" t="s">
        <v>226</v>
      </c>
      <c r="L27" s="268"/>
      <c r="M27" s="268"/>
      <c r="N27" s="268"/>
      <c r="O27" s="268"/>
      <c r="P27" s="268"/>
      <c r="Q27" s="268"/>
      <c r="R27" s="268"/>
      <c r="S27" s="268"/>
    </row>
    <row r="28" spans="2:20" ht="25.5" customHeight="1">
      <c r="B28" s="56" t="s">
        <v>227</v>
      </c>
      <c r="C28" s="52" t="s">
        <v>226</v>
      </c>
      <c r="D28" s="52" t="s">
        <v>226</v>
      </c>
      <c r="E28" s="53"/>
      <c r="F28" s="54"/>
      <c r="G28" s="54"/>
      <c r="H28" s="57"/>
      <c r="I28" s="55"/>
      <c r="J28" s="57"/>
      <c r="K28" s="268" t="s">
        <v>226</v>
      </c>
      <c r="L28" s="268"/>
      <c r="M28" s="268"/>
      <c r="N28" s="268"/>
      <c r="O28" s="268"/>
      <c r="P28" s="268"/>
      <c r="Q28" s="268"/>
      <c r="R28" s="268"/>
      <c r="S28" s="268"/>
      <c r="T28" t="s">
        <v>226</v>
      </c>
    </row>
    <row r="29" spans="2:20" ht="26.25" customHeight="1">
      <c r="B29" s="56" t="s">
        <v>228</v>
      </c>
      <c r="C29" s="52">
        <v>1</v>
      </c>
      <c r="D29" s="52">
        <f>I29/H29</f>
        <v>1</v>
      </c>
      <c r="E29" s="53">
        <f>+C29-D29</f>
        <v>0</v>
      </c>
      <c r="F29" s="54"/>
      <c r="G29" s="54"/>
      <c r="H29" s="57">
        <v>44</v>
      </c>
      <c r="I29" s="55">
        <v>44</v>
      </c>
      <c r="J29" s="188">
        <f>I29-H29</f>
        <v>0</v>
      </c>
      <c r="K29" s="268" t="s">
        <v>219</v>
      </c>
      <c r="L29" s="268"/>
      <c r="M29" s="268"/>
      <c r="N29" s="268"/>
      <c r="O29" s="268"/>
      <c r="P29" s="268"/>
      <c r="Q29" s="268"/>
      <c r="R29" s="268"/>
      <c r="S29" s="268"/>
    </row>
    <row r="30" spans="2:20" ht="26.25">
      <c r="B30" s="56" t="s">
        <v>229</v>
      </c>
      <c r="C30" s="52" t="s">
        <v>226</v>
      </c>
      <c r="D30" s="52" t="s">
        <v>226</v>
      </c>
      <c r="E30" s="53"/>
      <c r="F30" s="61"/>
      <c r="G30" s="61"/>
      <c r="H30" s="55"/>
      <c r="I30" s="190"/>
      <c r="J30" s="170"/>
      <c r="K30" s="268" t="s">
        <v>226</v>
      </c>
      <c r="L30" s="268"/>
      <c r="M30" s="268"/>
      <c r="N30" s="268"/>
      <c r="O30" s="268"/>
      <c r="P30" s="268"/>
      <c r="Q30" s="268"/>
      <c r="R30" s="268"/>
      <c r="S30" s="268"/>
    </row>
    <row r="31" spans="2:20" ht="25.5">
      <c r="B31" s="56" t="s">
        <v>21</v>
      </c>
      <c r="C31" s="52" t="s">
        <v>226</v>
      </c>
      <c r="D31" s="52" t="s">
        <v>226</v>
      </c>
      <c r="E31" s="53"/>
      <c r="F31" s="54"/>
      <c r="G31" s="62"/>
      <c r="H31" s="55"/>
      <c r="I31" s="55"/>
      <c r="J31" s="55"/>
      <c r="K31" s="272" t="s">
        <v>226</v>
      </c>
      <c r="L31" s="272"/>
      <c r="M31" s="272"/>
      <c r="N31" s="272"/>
      <c r="O31" s="272"/>
      <c r="P31" s="272"/>
      <c r="Q31" s="272"/>
      <c r="R31" s="272"/>
      <c r="S31" s="272"/>
    </row>
    <row r="32" spans="2:20" ht="23.25">
      <c r="B32" s="63"/>
      <c r="C32" s="64"/>
      <c r="D32" s="36"/>
      <c r="E32" s="36"/>
      <c r="F32" s="65"/>
      <c r="G32" s="65"/>
      <c r="H32" s="65"/>
      <c r="I32" s="36"/>
      <c r="J32" s="36"/>
      <c r="K32" s="37"/>
      <c r="L32" s="37"/>
      <c r="M32" s="36"/>
      <c r="N32" s="38"/>
      <c r="O32" s="39"/>
      <c r="P32" s="39"/>
      <c r="Q32" s="39"/>
      <c r="R32" s="39"/>
      <c r="S32" s="39"/>
    </row>
    <row r="33" spans="2:19" ht="23.25">
      <c r="B33" s="66" t="s">
        <v>230</v>
      </c>
      <c r="C33" s="67" t="s">
        <v>231</v>
      </c>
      <c r="D33" s="68" t="s">
        <v>3</v>
      </c>
      <c r="E33" s="69" t="s">
        <v>28</v>
      </c>
      <c r="F33" s="265" t="s">
        <v>5</v>
      </c>
      <c r="G33" s="265"/>
      <c r="H33" s="265"/>
      <c r="I33" s="265"/>
      <c r="J33" s="265"/>
      <c r="K33" s="265"/>
      <c r="L33" s="265"/>
      <c r="M33" s="265"/>
      <c r="N33" s="265"/>
      <c r="O33" s="38"/>
      <c r="P33" s="38"/>
      <c r="Q33" s="38"/>
      <c r="R33" s="38"/>
      <c r="S33" s="38"/>
    </row>
    <row r="34" spans="2:19" ht="44.25" customHeight="1">
      <c r="B34" s="278" t="s">
        <v>232</v>
      </c>
      <c r="C34" s="279">
        <v>1</v>
      </c>
      <c r="D34" s="280">
        <f>(100%+99%+84%+97%+100%+100%)/6</f>
        <v>0.96666666666666667</v>
      </c>
      <c r="E34" s="281">
        <f>D34-C34</f>
        <v>-3.3333333333333326E-2</v>
      </c>
      <c r="F34" s="70" t="s">
        <v>233</v>
      </c>
      <c r="G34" s="70" t="s">
        <v>234</v>
      </c>
      <c r="H34" s="70" t="s">
        <v>235</v>
      </c>
      <c r="I34" s="70" t="s">
        <v>236</v>
      </c>
      <c r="J34" s="70" t="s">
        <v>237</v>
      </c>
      <c r="K34" s="70" t="s">
        <v>238</v>
      </c>
      <c r="L34" s="283" t="s">
        <v>52</v>
      </c>
      <c r="M34" s="283"/>
      <c r="N34" s="283" t="s">
        <v>239</v>
      </c>
      <c r="O34" s="283"/>
      <c r="P34" s="38"/>
      <c r="Q34" s="38"/>
      <c r="R34" s="38"/>
      <c r="S34" s="38"/>
    </row>
    <row r="35" spans="2:19" ht="23.25" customHeight="1">
      <c r="B35" s="278"/>
      <c r="C35" s="279"/>
      <c r="D35" s="280"/>
      <c r="E35" s="281"/>
      <c r="F35" s="92" t="s">
        <v>240</v>
      </c>
      <c r="G35" s="178" t="s">
        <v>241</v>
      </c>
      <c r="H35" s="178">
        <v>1158</v>
      </c>
      <c r="I35" s="178">
        <v>0</v>
      </c>
      <c r="J35" s="178">
        <v>288</v>
      </c>
      <c r="K35" s="169">
        <f>I35/J35</f>
        <v>0</v>
      </c>
      <c r="L35" s="236" t="s">
        <v>242</v>
      </c>
      <c r="M35" s="236"/>
      <c r="N35" s="237" t="s">
        <v>243</v>
      </c>
      <c r="O35" s="237"/>
      <c r="P35" s="38"/>
      <c r="Q35" s="38"/>
      <c r="R35" s="38"/>
      <c r="S35" s="38"/>
    </row>
    <row r="36" spans="2:19" ht="23.25" customHeight="1">
      <c r="B36" s="278"/>
      <c r="C36" s="279"/>
      <c r="D36" s="280"/>
      <c r="E36" s="281"/>
      <c r="F36" s="92" t="s">
        <v>240</v>
      </c>
      <c r="G36" s="178" t="s">
        <v>244</v>
      </c>
      <c r="H36" s="178">
        <v>684</v>
      </c>
      <c r="I36" s="178">
        <v>18</v>
      </c>
      <c r="J36" s="178">
        <v>144</v>
      </c>
      <c r="K36" s="169">
        <f>I36/J36</f>
        <v>0.125</v>
      </c>
      <c r="L36" s="236" t="s">
        <v>242</v>
      </c>
      <c r="M36" s="236"/>
      <c r="N36" s="237" t="s">
        <v>243</v>
      </c>
      <c r="O36" s="237"/>
      <c r="P36" s="38"/>
      <c r="Q36" s="38"/>
      <c r="R36" s="38"/>
      <c r="S36" s="38"/>
    </row>
    <row r="37" spans="2:19" ht="23.25" customHeight="1">
      <c r="B37" s="278"/>
      <c r="C37" s="279"/>
      <c r="D37" s="280"/>
      <c r="E37" s="281"/>
      <c r="F37" s="92" t="s">
        <v>240</v>
      </c>
      <c r="G37" s="178" t="s">
        <v>245</v>
      </c>
      <c r="H37" s="178">
        <v>108</v>
      </c>
      <c r="I37" s="178">
        <v>0</v>
      </c>
      <c r="J37" s="178">
        <v>72</v>
      </c>
      <c r="K37" s="169">
        <f t="shared" ref="K37:K38" si="0">I37/J37</f>
        <v>0</v>
      </c>
      <c r="L37" s="236" t="s">
        <v>242</v>
      </c>
      <c r="M37" s="236"/>
      <c r="N37" s="237" t="s">
        <v>243</v>
      </c>
      <c r="O37" s="237"/>
      <c r="P37" s="38"/>
      <c r="Q37" s="38"/>
      <c r="R37" s="38"/>
      <c r="S37" s="38"/>
    </row>
    <row r="38" spans="2:19" ht="23.25" customHeight="1">
      <c r="B38" s="278"/>
      <c r="C38" s="279"/>
      <c r="D38" s="280"/>
      <c r="E38" s="281"/>
      <c r="F38" s="92" t="s">
        <v>240</v>
      </c>
      <c r="G38" s="202" t="s">
        <v>246</v>
      </c>
      <c r="H38" s="92">
        <v>108</v>
      </c>
      <c r="I38" s="92">
        <v>0</v>
      </c>
      <c r="J38" s="178">
        <v>72</v>
      </c>
      <c r="K38" s="169">
        <f t="shared" si="0"/>
        <v>0</v>
      </c>
      <c r="L38" s="236" t="s">
        <v>242</v>
      </c>
      <c r="M38" s="236"/>
      <c r="N38" s="237" t="s">
        <v>243</v>
      </c>
      <c r="O38" s="237"/>
      <c r="P38" s="38"/>
      <c r="Q38" s="38"/>
      <c r="R38" s="38"/>
      <c r="S38" s="38"/>
    </row>
    <row r="39" spans="2:19" ht="23.25" customHeight="1">
      <c r="B39" s="278"/>
      <c r="C39" s="279"/>
      <c r="D39" s="280"/>
      <c r="E39" s="281"/>
      <c r="F39" s="92" t="s">
        <v>247</v>
      </c>
      <c r="G39" s="178" t="s">
        <v>248</v>
      </c>
      <c r="H39" s="178">
        <v>1080</v>
      </c>
      <c r="I39" s="178">
        <v>280</v>
      </c>
      <c r="J39" s="178">
        <v>680</v>
      </c>
      <c r="K39" s="169">
        <f>I39/J39</f>
        <v>0.41176470588235292</v>
      </c>
      <c r="L39" s="236" t="s">
        <v>249</v>
      </c>
      <c r="M39" s="236"/>
      <c r="N39" s="237" t="s">
        <v>250</v>
      </c>
      <c r="O39" s="237"/>
      <c r="P39" s="38"/>
      <c r="Q39" s="38"/>
      <c r="R39" s="38"/>
      <c r="S39" s="38"/>
    </row>
    <row r="40" spans="2:19" ht="23.25" customHeight="1">
      <c r="B40" s="278"/>
      <c r="C40" s="279"/>
      <c r="D40" s="280"/>
      <c r="E40" s="281"/>
      <c r="F40" s="92" t="s">
        <v>247</v>
      </c>
      <c r="G40" s="178" t="s">
        <v>251</v>
      </c>
      <c r="H40" s="178">
        <v>1063</v>
      </c>
      <c r="I40" s="178">
        <v>200</v>
      </c>
      <c r="J40" s="178">
        <v>680</v>
      </c>
      <c r="K40" s="169">
        <f>I40/J40</f>
        <v>0.29411764705882354</v>
      </c>
      <c r="L40" s="236" t="s">
        <v>249</v>
      </c>
      <c r="M40" s="236"/>
      <c r="N40" s="237" t="s">
        <v>250</v>
      </c>
      <c r="O40" s="237"/>
      <c r="P40" s="38"/>
      <c r="Q40" s="38"/>
      <c r="R40" s="38"/>
      <c r="S40" s="38"/>
    </row>
    <row r="41" spans="2:19" ht="23.25" customHeight="1">
      <c r="B41" s="278"/>
      <c r="C41" s="279"/>
      <c r="D41" s="280"/>
      <c r="E41" s="281"/>
      <c r="F41" s="92" t="s">
        <v>247</v>
      </c>
      <c r="G41" s="202" t="s">
        <v>252</v>
      </c>
      <c r="H41" s="92">
        <v>480</v>
      </c>
      <c r="I41" s="92">
        <v>0</v>
      </c>
      <c r="J41" s="92">
        <v>100</v>
      </c>
      <c r="K41" s="169">
        <f>I41/J41</f>
        <v>0</v>
      </c>
      <c r="L41" s="236" t="s">
        <v>249</v>
      </c>
      <c r="M41" s="236"/>
      <c r="N41" s="237" t="s">
        <v>250</v>
      </c>
      <c r="O41" s="237"/>
      <c r="P41" s="38"/>
      <c r="Q41" s="38"/>
      <c r="R41" s="38"/>
      <c r="S41" s="38"/>
    </row>
    <row r="42" spans="2:19" ht="23.25" customHeight="1">
      <c r="B42" s="278"/>
      <c r="C42" s="279"/>
      <c r="D42" s="280"/>
      <c r="E42" s="281"/>
      <c r="F42" s="92"/>
      <c r="G42" s="202"/>
      <c r="H42" s="92"/>
      <c r="I42" s="92"/>
      <c r="J42" s="92"/>
      <c r="K42" s="169"/>
      <c r="L42" s="236"/>
      <c r="M42" s="236"/>
      <c r="N42" s="237"/>
      <c r="O42" s="237"/>
      <c r="P42" s="38"/>
      <c r="Q42" s="38"/>
      <c r="R42" s="38"/>
      <c r="S42" s="38"/>
    </row>
    <row r="43" spans="2:19" ht="23.25" customHeight="1">
      <c r="B43" s="278"/>
      <c r="C43" s="279"/>
      <c r="D43" s="280"/>
      <c r="E43" s="281"/>
      <c r="F43" s="92"/>
      <c r="G43" s="202"/>
      <c r="H43" s="184"/>
      <c r="I43" s="92"/>
      <c r="J43" s="92"/>
      <c r="K43" s="169"/>
      <c r="L43" s="236"/>
      <c r="M43" s="236"/>
      <c r="N43" s="237"/>
      <c r="O43" s="237"/>
      <c r="P43" s="38"/>
      <c r="Q43" s="38"/>
      <c r="R43" s="38"/>
      <c r="S43" s="38"/>
    </row>
    <row r="44" spans="2:19" ht="23.25">
      <c r="B44" s="278"/>
      <c r="C44" s="279"/>
      <c r="D44" s="280"/>
      <c r="E44" s="281"/>
      <c r="F44" s="92"/>
      <c r="G44" s="72"/>
      <c r="H44" s="228"/>
      <c r="I44" s="72"/>
      <c r="J44" s="72"/>
      <c r="K44" s="169"/>
      <c r="L44" s="236"/>
      <c r="M44" s="236"/>
      <c r="N44" s="237"/>
      <c r="O44" s="237"/>
      <c r="P44" s="38"/>
      <c r="Q44" s="38"/>
      <c r="R44" s="38"/>
      <c r="S44" s="38"/>
    </row>
    <row r="45" spans="2:19" ht="23.25">
      <c r="B45" s="278"/>
      <c r="C45" s="279"/>
      <c r="D45" s="280"/>
      <c r="E45" s="281"/>
      <c r="F45" s="92"/>
      <c r="G45" s="227"/>
      <c r="H45" s="228"/>
      <c r="I45" s="72"/>
      <c r="J45" s="72"/>
      <c r="K45" s="169"/>
      <c r="L45" s="236"/>
      <c r="M45" s="236"/>
      <c r="N45" s="236"/>
      <c r="O45" s="236"/>
      <c r="P45" s="38"/>
      <c r="Q45" s="38"/>
      <c r="R45" s="38"/>
      <c r="S45" s="38"/>
    </row>
    <row r="46" spans="2:19" ht="23.25">
      <c r="B46" s="278"/>
      <c r="C46" s="279"/>
      <c r="D46" s="280"/>
      <c r="E46" s="281"/>
      <c r="F46" s="92"/>
      <c r="G46" s="227"/>
      <c r="H46" s="228"/>
      <c r="I46" s="72"/>
      <c r="J46" s="72"/>
      <c r="K46" s="169"/>
      <c r="L46" s="236"/>
      <c r="M46" s="236"/>
      <c r="N46" s="236"/>
      <c r="O46" s="236"/>
      <c r="P46" s="38"/>
      <c r="Q46" s="38"/>
      <c r="R46" s="38"/>
      <c r="S46" s="38"/>
    </row>
    <row r="47" spans="2:19" ht="23.25">
      <c r="B47" s="278"/>
      <c r="C47" s="279"/>
      <c r="D47" s="280"/>
      <c r="E47" s="281"/>
      <c r="F47" s="73"/>
      <c r="G47" s="227"/>
      <c r="H47" s="228"/>
      <c r="I47" s="72"/>
      <c r="J47" s="72"/>
      <c r="K47" s="169"/>
      <c r="L47" s="236"/>
      <c r="M47" s="236"/>
      <c r="N47" s="236"/>
      <c r="O47" s="236"/>
      <c r="P47" s="38"/>
      <c r="Q47" s="38"/>
      <c r="R47" s="38"/>
      <c r="S47" s="38"/>
    </row>
    <row r="48" spans="2:19" ht="23.25">
      <c r="B48" s="278"/>
      <c r="C48" s="279"/>
      <c r="D48" s="280"/>
      <c r="E48" s="281"/>
      <c r="F48" s="73"/>
      <c r="G48" s="227"/>
      <c r="H48" s="228"/>
      <c r="I48" s="72"/>
      <c r="J48" s="72"/>
      <c r="K48" s="169"/>
      <c r="L48" s="236"/>
      <c r="M48" s="236"/>
      <c r="N48" s="236"/>
      <c r="O48" s="236"/>
      <c r="P48" s="38"/>
      <c r="Q48" s="38"/>
      <c r="R48" s="38"/>
      <c r="S48" s="38"/>
    </row>
    <row r="49" spans="2:21" ht="23.25">
      <c r="B49" s="45" t="s">
        <v>253</v>
      </c>
      <c r="C49" s="46">
        <v>1</v>
      </c>
      <c r="D49" s="177">
        <v>1</v>
      </c>
      <c r="E49" s="203">
        <f>D49-C49</f>
        <v>0</v>
      </c>
      <c r="F49" s="73"/>
      <c r="G49" s="227"/>
      <c r="H49" s="229"/>
      <c r="I49" s="72"/>
      <c r="J49" s="72"/>
      <c r="K49" s="169"/>
      <c r="L49" s="236"/>
      <c r="M49" s="236"/>
      <c r="R49" s="236"/>
      <c r="S49" s="236"/>
      <c r="T49" s="38"/>
      <c r="U49" s="38"/>
    </row>
    <row r="50" spans="2:21" ht="23.25">
      <c r="B50" s="63"/>
      <c r="C50" s="64"/>
      <c r="D50" s="36"/>
      <c r="E50" s="36"/>
      <c r="F50" s="65"/>
      <c r="G50" s="65"/>
      <c r="H50" s="65"/>
      <c r="I50" s="36"/>
      <c r="J50" s="36"/>
      <c r="K50" s="37"/>
      <c r="L50" s="37"/>
      <c r="M50" s="36"/>
      <c r="N50" s="38"/>
      <c r="O50" s="39"/>
      <c r="P50" s="39"/>
      <c r="Q50" s="39"/>
      <c r="R50" s="39"/>
      <c r="S50" s="39"/>
    </row>
    <row r="51" spans="2:21" ht="23.25" hidden="1">
      <c r="B51" s="63"/>
      <c r="C51" s="64"/>
      <c r="D51" s="36"/>
      <c r="E51" s="36"/>
      <c r="F51" s="70" t="s">
        <v>254</v>
      </c>
      <c r="G51" s="70" t="s">
        <v>234</v>
      </c>
      <c r="H51" s="70" t="s">
        <v>255</v>
      </c>
      <c r="I51" s="70" t="s">
        <v>256</v>
      </c>
      <c r="J51" s="211" t="s">
        <v>257</v>
      </c>
      <c r="K51" s="255" t="s">
        <v>258</v>
      </c>
      <c r="L51" s="255"/>
      <c r="M51" s="255"/>
      <c r="N51" s="253"/>
      <c r="O51" s="253"/>
      <c r="P51" s="39"/>
      <c r="Q51" s="39"/>
      <c r="R51" s="39"/>
      <c r="S51" s="39"/>
    </row>
    <row r="52" spans="2:21" ht="23.25" hidden="1">
      <c r="B52" s="63"/>
      <c r="C52" s="64"/>
      <c r="D52" s="36"/>
      <c r="E52" s="36"/>
      <c r="F52" s="204" t="s">
        <v>259</v>
      </c>
      <c r="G52" s="204" t="s">
        <v>260</v>
      </c>
      <c r="H52" s="208">
        <v>130</v>
      </c>
      <c r="I52" s="204">
        <v>510</v>
      </c>
      <c r="J52" s="212">
        <f>H52/I52</f>
        <v>0.25490196078431371</v>
      </c>
      <c r="K52" s="256"/>
      <c r="L52" s="256"/>
      <c r="M52" s="256"/>
      <c r="N52" s="254"/>
      <c r="O52" s="254"/>
      <c r="P52" s="39"/>
      <c r="Q52" s="39"/>
      <c r="R52" s="39"/>
      <c r="S52" s="39"/>
    </row>
    <row r="53" spans="2:21" ht="23.25" hidden="1">
      <c r="B53" s="63"/>
      <c r="C53" s="64"/>
      <c r="D53" s="36"/>
      <c r="E53" s="36"/>
      <c r="F53" s="204" t="s">
        <v>259</v>
      </c>
      <c r="G53" s="204" t="s">
        <v>261</v>
      </c>
      <c r="H53" s="208">
        <v>100</v>
      </c>
      <c r="I53" s="204">
        <v>500</v>
      </c>
      <c r="J53" s="205">
        <f>H53/I53</f>
        <v>0.2</v>
      </c>
      <c r="K53" s="256"/>
      <c r="L53" s="256"/>
      <c r="M53" s="256"/>
      <c r="N53" s="38"/>
      <c r="O53" s="39"/>
      <c r="P53" s="39"/>
      <c r="Q53" s="39"/>
      <c r="R53" s="39"/>
      <c r="S53" s="39"/>
    </row>
    <row r="54" spans="2:21" ht="23.25" hidden="1">
      <c r="B54" s="63"/>
      <c r="C54" s="64"/>
      <c r="D54" s="36"/>
      <c r="E54" s="36"/>
      <c r="F54" s="204" t="s">
        <v>262</v>
      </c>
      <c r="G54" s="207" t="s">
        <v>56</v>
      </c>
      <c r="H54" s="209">
        <v>100</v>
      </c>
      <c r="I54" s="204">
        <v>1120</v>
      </c>
      <c r="J54" s="205">
        <f>H54/I54</f>
        <v>8.9285714285714288E-2</v>
      </c>
      <c r="K54" s="256"/>
      <c r="L54" s="256"/>
      <c r="M54" s="256"/>
      <c r="N54" s="38"/>
      <c r="O54" s="39"/>
      <c r="P54" s="39"/>
      <c r="Q54" s="39"/>
      <c r="R54" s="39"/>
      <c r="S54" s="39"/>
    </row>
    <row r="55" spans="2:21" ht="23.25" hidden="1">
      <c r="B55" s="63"/>
      <c r="C55" s="64"/>
      <c r="D55" s="36"/>
      <c r="E55" s="36"/>
      <c r="F55" s="204" t="s">
        <v>259</v>
      </c>
      <c r="G55" s="204" t="s">
        <v>263</v>
      </c>
      <c r="H55" s="204">
        <v>100</v>
      </c>
      <c r="I55" s="206">
        <v>600</v>
      </c>
      <c r="J55" s="205">
        <f>H55/I55</f>
        <v>0.16666666666666666</v>
      </c>
      <c r="K55" s="256"/>
      <c r="L55" s="256"/>
      <c r="M55" s="256"/>
      <c r="N55" s="38"/>
      <c r="O55" s="39"/>
      <c r="P55" s="39"/>
      <c r="Q55" s="39"/>
      <c r="R55" s="39"/>
      <c r="S55" s="39"/>
    </row>
    <row r="56" spans="2:21" ht="23.25" hidden="1">
      <c r="B56" s="63"/>
      <c r="C56" s="64"/>
      <c r="D56" s="36"/>
      <c r="E56" s="36"/>
      <c r="F56" s="204" t="s">
        <v>259</v>
      </c>
      <c r="G56" s="204" t="s">
        <v>264</v>
      </c>
      <c r="H56" s="204">
        <v>40</v>
      </c>
      <c r="I56" s="206">
        <v>240</v>
      </c>
      <c r="J56" s="205">
        <f>H56/I56</f>
        <v>0.16666666666666666</v>
      </c>
      <c r="K56" s="256"/>
      <c r="L56" s="256"/>
      <c r="M56" s="256"/>
      <c r="N56" s="38"/>
      <c r="O56" s="39"/>
      <c r="P56" s="39"/>
      <c r="Q56" s="39"/>
      <c r="R56" s="39"/>
      <c r="S56" s="39"/>
    </row>
    <row r="57" spans="2:21" ht="23.25" hidden="1">
      <c r="B57" s="63"/>
      <c r="C57" s="64"/>
      <c r="D57" s="36"/>
      <c r="E57" s="36"/>
      <c r="F57" s="204" t="s">
        <v>262</v>
      </c>
      <c r="G57" s="204" t="s">
        <v>105</v>
      </c>
      <c r="H57" s="204">
        <v>460</v>
      </c>
      <c r="I57" s="206">
        <v>1120</v>
      </c>
      <c r="J57" s="205">
        <f>H57/I57</f>
        <v>0.4107142857142857</v>
      </c>
      <c r="K57" s="256"/>
      <c r="L57" s="256"/>
      <c r="M57" s="256"/>
      <c r="N57" s="38"/>
      <c r="O57" s="39"/>
      <c r="P57" s="39"/>
      <c r="Q57" s="39"/>
      <c r="R57" s="39"/>
      <c r="S57" s="39"/>
    </row>
    <row r="58" spans="2:21" ht="23.25" hidden="1">
      <c r="B58" s="63"/>
      <c r="C58" s="64"/>
      <c r="D58" s="36"/>
      <c r="E58" s="36"/>
      <c r="F58" s="204" t="s">
        <v>259</v>
      </c>
      <c r="G58" s="204" t="s">
        <v>265</v>
      </c>
      <c r="H58" s="204">
        <v>100</v>
      </c>
      <c r="I58" s="206">
        <v>300</v>
      </c>
      <c r="J58" s="205">
        <f>H58/I58</f>
        <v>0.33333333333333331</v>
      </c>
      <c r="K58" s="256"/>
      <c r="L58" s="256"/>
      <c r="M58" s="256"/>
      <c r="N58" s="38"/>
      <c r="O58" s="39"/>
      <c r="P58" s="39"/>
      <c r="Q58" s="39"/>
      <c r="R58" s="39"/>
      <c r="S58" s="39"/>
    </row>
    <row r="59" spans="2:21" ht="23.25" hidden="1">
      <c r="B59" s="63"/>
      <c r="C59" s="64"/>
      <c r="D59" s="36"/>
      <c r="E59" s="36"/>
      <c r="F59" s="204" t="s">
        <v>266</v>
      </c>
      <c r="G59" s="204" t="s">
        <v>267</v>
      </c>
      <c r="H59" s="204">
        <v>100</v>
      </c>
      <c r="I59" s="206">
        <v>400</v>
      </c>
      <c r="J59" s="205">
        <f>H59/I59</f>
        <v>0.25</v>
      </c>
      <c r="K59" s="256"/>
      <c r="L59" s="256"/>
      <c r="M59" s="256"/>
      <c r="N59" s="38"/>
      <c r="O59" s="39"/>
      <c r="P59" s="39"/>
      <c r="Q59" s="39"/>
      <c r="R59" s="39"/>
      <c r="S59" s="39"/>
    </row>
    <row r="60" spans="2:21" ht="23.25" hidden="1">
      <c r="B60" s="63"/>
      <c r="C60" s="64"/>
      <c r="D60" s="36"/>
      <c r="E60" s="36"/>
      <c r="F60" s="204" t="s">
        <v>262</v>
      </c>
      <c r="G60" s="204" t="s">
        <v>268</v>
      </c>
      <c r="H60" s="204">
        <v>240</v>
      </c>
      <c r="I60" s="206">
        <v>520</v>
      </c>
      <c r="J60" s="205">
        <f>H60/I60</f>
        <v>0.46153846153846156</v>
      </c>
      <c r="K60" s="256"/>
      <c r="L60" s="256"/>
      <c r="M60" s="256"/>
      <c r="N60" s="38"/>
      <c r="O60" s="39"/>
      <c r="P60" s="39"/>
      <c r="Q60" s="39"/>
      <c r="R60" s="39"/>
      <c r="S60" s="39"/>
    </row>
    <row r="61" spans="2:21" ht="23.25" hidden="1">
      <c r="B61" s="63"/>
      <c r="C61" s="64"/>
      <c r="D61" s="36"/>
      <c r="E61" s="36"/>
      <c r="F61" s="204" t="s">
        <v>266</v>
      </c>
      <c r="G61" s="204" t="s">
        <v>269</v>
      </c>
      <c r="H61" s="204">
        <v>348</v>
      </c>
      <c r="I61" s="206">
        <v>96</v>
      </c>
      <c r="J61" s="205">
        <f>H61/I61</f>
        <v>3.625</v>
      </c>
      <c r="K61" s="256"/>
      <c r="L61" s="256"/>
      <c r="M61" s="256"/>
      <c r="N61" s="38"/>
      <c r="O61" s="39"/>
      <c r="P61" s="39"/>
      <c r="Q61" s="39"/>
      <c r="R61" s="39"/>
      <c r="S61" s="39"/>
    </row>
    <row r="62" spans="2:21" ht="23.25" hidden="1">
      <c r="B62" s="63"/>
      <c r="C62" s="64"/>
      <c r="D62" s="36"/>
      <c r="E62" s="36"/>
      <c r="F62" s="204" t="s">
        <v>266</v>
      </c>
      <c r="G62" s="204" t="s">
        <v>270</v>
      </c>
      <c r="H62" s="204">
        <v>348</v>
      </c>
      <c r="I62" s="206">
        <v>96</v>
      </c>
      <c r="J62" s="205">
        <f>H62/I62</f>
        <v>3.625</v>
      </c>
      <c r="K62" s="256"/>
      <c r="L62" s="256"/>
      <c r="M62" s="256"/>
      <c r="N62" s="38"/>
      <c r="O62" s="39"/>
      <c r="P62" s="39"/>
      <c r="Q62" s="39"/>
      <c r="R62" s="39"/>
      <c r="S62" s="39"/>
    </row>
    <row r="63" spans="2:21" ht="23.25" hidden="1">
      <c r="B63" s="63"/>
      <c r="C63" s="64"/>
      <c r="D63" s="36"/>
      <c r="E63" s="36"/>
      <c r="F63" s="204" t="s">
        <v>266</v>
      </c>
      <c r="G63" s="204" t="s">
        <v>271</v>
      </c>
      <c r="H63" s="204">
        <v>336</v>
      </c>
      <c r="I63" s="206">
        <v>96</v>
      </c>
      <c r="J63" s="205">
        <f>H63/I63</f>
        <v>3.5</v>
      </c>
      <c r="K63" s="256"/>
      <c r="L63" s="256"/>
      <c r="M63" s="256"/>
      <c r="N63" s="38"/>
      <c r="O63" s="39"/>
      <c r="P63" s="39"/>
      <c r="Q63" s="39"/>
      <c r="R63" s="39"/>
      <c r="S63" s="39"/>
    </row>
    <row r="64" spans="2:21" ht="23.25" hidden="1">
      <c r="B64" s="63"/>
      <c r="C64" s="64"/>
      <c r="D64" s="36"/>
      <c r="E64" s="36"/>
      <c r="F64" s="204" t="s">
        <v>266</v>
      </c>
      <c r="G64" s="204" t="s">
        <v>272</v>
      </c>
      <c r="H64" s="204">
        <v>336</v>
      </c>
      <c r="I64" s="206">
        <v>96</v>
      </c>
      <c r="J64" s="205">
        <f>H64/I64</f>
        <v>3.5</v>
      </c>
      <c r="K64" s="256"/>
      <c r="L64" s="256"/>
      <c r="M64" s="256"/>
      <c r="N64" s="38"/>
      <c r="O64" s="39"/>
      <c r="P64" s="39"/>
      <c r="Q64" s="39"/>
      <c r="R64" s="39"/>
      <c r="S64" s="39"/>
    </row>
    <row r="65" spans="2:19" ht="23.25" hidden="1">
      <c r="B65" s="63"/>
      <c r="C65" s="64"/>
      <c r="D65" s="36"/>
      <c r="E65" s="36"/>
      <c r="F65" s="204" t="s">
        <v>266</v>
      </c>
      <c r="G65" s="204" t="s">
        <v>273</v>
      </c>
      <c r="H65" s="204">
        <v>190</v>
      </c>
      <c r="I65" s="206">
        <v>60</v>
      </c>
      <c r="J65" s="205">
        <f>H65/I65</f>
        <v>3.1666666666666665</v>
      </c>
      <c r="K65" s="256"/>
      <c r="L65" s="256"/>
      <c r="M65" s="256"/>
      <c r="N65" s="38"/>
      <c r="O65" s="39"/>
      <c r="P65" s="39"/>
      <c r="Q65" s="39"/>
      <c r="R65" s="39"/>
      <c r="S65" s="39"/>
    </row>
    <row r="66" spans="2:19" ht="23.25" hidden="1">
      <c r="B66" s="63"/>
      <c r="C66" s="64"/>
      <c r="D66" s="36"/>
      <c r="E66" s="36"/>
      <c r="F66" s="204" t="s">
        <v>266</v>
      </c>
      <c r="G66" s="204" t="s">
        <v>274</v>
      </c>
      <c r="H66" s="204">
        <v>120</v>
      </c>
      <c r="I66" s="206">
        <v>36</v>
      </c>
      <c r="J66" s="205">
        <f>H66/I66</f>
        <v>3.3333333333333335</v>
      </c>
      <c r="K66" s="256"/>
      <c r="L66" s="256"/>
      <c r="M66" s="256"/>
      <c r="N66" s="38"/>
      <c r="O66" s="39"/>
      <c r="P66" s="39"/>
      <c r="Q66" s="39"/>
      <c r="R66" s="39"/>
      <c r="S66" s="39"/>
    </row>
    <row r="67" spans="2:19" ht="23.25" hidden="1">
      <c r="B67" s="63"/>
      <c r="C67" s="64"/>
      <c r="D67" s="36"/>
      <c r="E67" s="36"/>
      <c r="F67" s="204" t="s">
        <v>266</v>
      </c>
      <c r="G67" s="204"/>
      <c r="H67" s="204"/>
      <c r="I67" s="206"/>
      <c r="J67" s="205" t="e">
        <f>H67/I67</f>
        <v>#DIV/0!</v>
      </c>
      <c r="K67" s="256"/>
      <c r="L67" s="256"/>
      <c r="M67" s="256"/>
      <c r="N67" s="38"/>
      <c r="O67" s="39"/>
      <c r="P67" s="39"/>
      <c r="Q67" s="39"/>
      <c r="R67" s="39"/>
      <c r="S67" s="39"/>
    </row>
    <row r="68" spans="2:19" ht="23.25" hidden="1">
      <c r="B68" s="63"/>
      <c r="C68" s="64"/>
      <c r="D68" s="36"/>
      <c r="E68" s="36"/>
      <c r="F68" s="204" t="s">
        <v>266</v>
      </c>
      <c r="G68" s="204" t="s">
        <v>275</v>
      </c>
      <c r="H68" s="204">
        <v>336</v>
      </c>
      <c r="I68" s="206">
        <v>96</v>
      </c>
      <c r="J68" s="205">
        <f>H68/I68</f>
        <v>3.5</v>
      </c>
      <c r="K68" s="256"/>
      <c r="L68" s="256"/>
      <c r="M68" s="256"/>
      <c r="N68" s="38"/>
      <c r="O68" s="39"/>
      <c r="P68" s="39"/>
      <c r="Q68" s="39"/>
      <c r="R68" s="39"/>
      <c r="S68" s="39"/>
    </row>
    <row r="69" spans="2:19" ht="23.25" hidden="1">
      <c r="B69" s="63"/>
      <c r="C69" s="64"/>
      <c r="D69" s="36"/>
      <c r="E69" s="36"/>
      <c r="F69" s="204" t="s">
        <v>266</v>
      </c>
      <c r="G69" s="204" t="s">
        <v>276</v>
      </c>
      <c r="H69" s="204">
        <v>180</v>
      </c>
      <c r="I69" s="206">
        <v>60</v>
      </c>
      <c r="J69" s="205">
        <f>H69/I69</f>
        <v>3</v>
      </c>
      <c r="K69" s="256"/>
      <c r="L69" s="256"/>
      <c r="M69" s="256"/>
      <c r="N69" s="38"/>
      <c r="O69" s="39"/>
      <c r="P69" s="39"/>
      <c r="Q69" s="39"/>
      <c r="R69" s="39"/>
      <c r="S69" s="39"/>
    </row>
    <row r="70" spans="2:19" ht="23.25" hidden="1">
      <c r="B70" s="63"/>
      <c r="C70" s="64"/>
      <c r="D70" s="36"/>
      <c r="E70" s="36"/>
      <c r="F70" s="204" t="s">
        <v>266</v>
      </c>
      <c r="G70" s="204" t="s">
        <v>277</v>
      </c>
      <c r="H70" s="204">
        <v>192</v>
      </c>
      <c r="I70" s="206">
        <v>60</v>
      </c>
      <c r="J70" s="205">
        <f>H70/I70</f>
        <v>3.2</v>
      </c>
      <c r="K70" s="256"/>
      <c r="L70" s="256"/>
      <c r="M70" s="256"/>
      <c r="N70" s="38"/>
      <c r="O70" s="39"/>
      <c r="P70" s="39"/>
      <c r="Q70" s="39"/>
      <c r="R70" s="39"/>
      <c r="S70" s="39"/>
    </row>
    <row r="71" spans="2:19" ht="23.25" hidden="1">
      <c r="B71" s="63"/>
      <c r="C71" s="64"/>
      <c r="D71" s="36"/>
      <c r="E71" s="36"/>
      <c r="F71" s="65"/>
      <c r="G71" s="65"/>
      <c r="H71" s="65"/>
      <c r="I71" s="65"/>
      <c r="J71" s="210"/>
      <c r="K71" s="210"/>
      <c r="L71" s="37"/>
      <c r="M71" s="36"/>
      <c r="N71" s="38"/>
      <c r="O71" s="39"/>
      <c r="P71" s="39"/>
      <c r="Q71" s="39"/>
      <c r="R71" s="39"/>
      <c r="S71" s="39"/>
    </row>
    <row r="72" spans="2:19" ht="27" customHeight="1">
      <c r="B72" s="63"/>
      <c r="C72" s="64"/>
      <c r="D72" s="36"/>
      <c r="E72" s="36"/>
      <c r="F72" s="182" t="s">
        <v>233</v>
      </c>
      <c r="G72" s="182" t="s">
        <v>278</v>
      </c>
      <c r="H72" s="182" t="s">
        <v>279</v>
      </c>
      <c r="I72" s="183" t="s">
        <v>280</v>
      </c>
      <c r="J72" s="282" t="s">
        <v>281</v>
      </c>
      <c r="K72" s="282"/>
      <c r="L72" s="186" t="s">
        <v>258</v>
      </c>
      <c r="M72" s="182" t="s">
        <v>239</v>
      </c>
      <c r="N72" s="39"/>
      <c r="O72" s="39"/>
      <c r="P72" s="39"/>
      <c r="Q72" s="39"/>
      <c r="R72" s="39"/>
      <c r="S72" s="39"/>
    </row>
    <row r="73" spans="2:19" ht="57" customHeight="1">
      <c r="B73" s="274" t="s">
        <v>282</v>
      </c>
      <c r="C73" s="275">
        <v>1</v>
      </c>
      <c r="D73" s="276">
        <f>SUM(H73:H78)/SUM(G73:G78)</f>
        <v>1</v>
      </c>
      <c r="E73" s="277">
        <f>D73-C73</f>
        <v>0</v>
      </c>
      <c r="F73" s="92" t="s">
        <v>283</v>
      </c>
      <c r="G73" s="92">
        <v>18</v>
      </c>
      <c r="H73" s="92">
        <v>18</v>
      </c>
      <c r="I73" s="73">
        <f>H73-G73</f>
        <v>0</v>
      </c>
      <c r="J73" s="239" t="s">
        <v>284</v>
      </c>
      <c r="K73" s="239"/>
      <c r="L73" s="184"/>
      <c r="M73" s="187"/>
      <c r="N73" s="38"/>
      <c r="O73" s="38"/>
      <c r="P73" s="38"/>
      <c r="Q73" s="38"/>
      <c r="R73" s="38"/>
      <c r="S73" s="38"/>
    </row>
    <row r="74" spans="2:19" ht="72" customHeight="1">
      <c r="B74" s="274"/>
      <c r="C74" s="275"/>
      <c r="D74" s="276"/>
      <c r="E74" s="277"/>
      <c r="F74" s="92" t="s">
        <v>285</v>
      </c>
      <c r="G74" s="92">
        <v>24</v>
      </c>
      <c r="H74" s="92">
        <v>24</v>
      </c>
      <c r="I74" s="73">
        <f t="shared" ref="I74:I78" si="1">H74-G74</f>
        <v>0</v>
      </c>
      <c r="J74" s="239" t="s">
        <v>284</v>
      </c>
      <c r="K74" s="239"/>
      <c r="L74" s="184"/>
      <c r="M74" s="187"/>
      <c r="N74" s="38"/>
      <c r="O74" s="38"/>
      <c r="P74" s="38"/>
      <c r="Q74" s="38"/>
      <c r="R74" s="38"/>
      <c r="S74" s="38"/>
    </row>
    <row r="75" spans="2:19" ht="57" customHeight="1">
      <c r="B75" s="274"/>
      <c r="C75" s="275"/>
      <c r="D75" s="276"/>
      <c r="E75" s="277"/>
      <c r="F75" s="92" t="s">
        <v>286</v>
      </c>
      <c r="G75" s="92">
        <v>24</v>
      </c>
      <c r="H75" s="92">
        <v>24</v>
      </c>
      <c r="I75" s="73">
        <f t="shared" si="1"/>
        <v>0</v>
      </c>
      <c r="J75" s="239" t="s">
        <v>284</v>
      </c>
      <c r="K75" s="239"/>
      <c r="L75" s="184"/>
      <c r="M75" s="187"/>
      <c r="N75" s="38"/>
      <c r="O75" s="38"/>
      <c r="P75" s="38"/>
      <c r="Q75" s="38"/>
      <c r="R75" s="38"/>
      <c r="S75" s="38"/>
    </row>
    <row r="76" spans="2:19" ht="57" customHeight="1">
      <c r="B76" s="274"/>
      <c r="C76" s="275"/>
      <c r="D76" s="276"/>
      <c r="E76" s="277"/>
      <c r="F76" s="92" t="s">
        <v>287</v>
      </c>
      <c r="G76" s="92">
        <v>9</v>
      </c>
      <c r="H76" s="92">
        <v>9</v>
      </c>
      <c r="I76" s="73">
        <f t="shared" si="1"/>
        <v>0</v>
      </c>
      <c r="J76" s="239" t="s">
        <v>284</v>
      </c>
      <c r="K76" s="239"/>
      <c r="L76" s="184"/>
      <c r="M76" s="187"/>
      <c r="N76" s="38"/>
      <c r="O76" s="38"/>
      <c r="P76" s="38"/>
      <c r="Q76" s="38"/>
      <c r="R76" s="38"/>
      <c r="S76" s="38"/>
    </row>
    <row r="77" spans="2:19" ht="57" customHeight="1">
      <c r="B77" s="274"/>
      <c r="C77" s="275"/>
      <c r="D77" s="276"/>
      <c r="E77" s="277"/>
      <c r="F77" s="92" t="s">
        <v>288</v>
      </c>
      <c r="G77" s="92">
        <v>0</v>
      </c>
      <c r="H77" s="92">
        <v>0</v>
      </c>
      <c r="I77" s="73">
        <f>H77-G77</f>
        <v>0</v>
      </c>
      <c r="J77" s="239" t="s">
        <v>284</v>
      </c>
      <c r="K77" s="239"/>
      <c r="L77" s="184"/>
      <c r="M77" s="187"/>
      <c r="N77" s="38"/>
      <c r="O77" s="38"/>
      <c r="P77" s="38"/>
      <c r="Q77" s="38"/>
      <c r="R77" s="38"/>
      <c r="S77" s="38"/>
    </row>
    <row r="78" spans="2:19" ht="57" customHeight="1">
      <c r="B78" s="274"/>
      <c r="C78" s="275"/>
      <c r="D78" s="276"/>
      <c r="E78" s="277"/>
      <c r="F78" s="92" t="s">
        <v>289</v>
      </c>
      <c r="G78" s="92">
        <v>20</v>
      </c>
      <c r="H78" s="92">
        <v>20</v>
      </c>
      <c r="I78" s="73">
        <f>H78-G78</f>
        <v>0</v>
      </c>
      <c r="J78" s="239" t="s">
        <v>284</v>
      </c>
      <c r="K78" s="239"/>
      <c r="L78" s="184"/>
      <c r="M78" s="187"/>
      <c r="N78" s="38"/>
      <c r="O78" s="38"/>
      <c r="P78" s="38"/>
      <c r="Q78" s="38"/>
      <c r="R78" s="38"/>
      <c r="S78" s="38"/>
    </row>
    <row r="79" spans="2:19" ht="23.25">
      <c r="B79" s="74"/>
      <c r="C79" s="64"/>
      <c r="D79" s="75"/>
      <c r="E79" s="76"/>
      <c r="F79" s="77"/>
      <c r="G79" s="77"/>
      <c r="H79" s="77"/>
      <c r="I79" s="77"/>
      <c r="J79" s="78"/>
      <c r="K79" s="78"/>
      <c r="L79" s="79"/>
      <c r="M79" s="79"/>
      <c r="N79" s="78"/>
      <c r="O79" s="38"/>
      <c r="P79" s="38"/>
      <c r="Q79" s="38"/>
      <c r="R79" s="38"/>
      <c r="S79" s="38"/>
    </row>
    <row r="81" spans="2:19" ht="23.25" hidden="1">
      <c r="B81" s="74"/>
      <c r="C81" s="64"/>
      <c r="D81" s="75"/>
      <c r="E81" s="76"/>
      <c r="F81" s="77"/>
      <c r="G81" s="77"/>
      <c r="H81" s="77"/>
      <c r="I81" s="77"/>
      <c r="J81" s="78"/>
      <c r="K81" s="78"/>
      <c r="L81" s="79"/>
      <c r="M81" s="79"/>
      <c r="N81" s="78"/>
      <c r="O81" s="38"/>
      <c r="P81" s="38"/>
      <c r="Q81" s="38"/>
      <c r="R81" s="38"/>
      <c r="S81" s="38"/>
    </row>
    <row r="82" spans="2:19" ht="31.5" hidden="1">
      <c r="B82" s="80" t="s">
        <v>290</v>
      </c>
      <c r="C82" s="81">
        <f ca="1">NOW()-3</f>
        <v>46250.543665972225</v>
      </c>
      <c r="D82" s="181"/>
      <c r="E82" s="36"/>
      <c r="F82" s="36"/>
      <c r="G82" s="36"/>
      <c r="H82" s="36"/>
      <c r="I82" s="38"/>
      <c r="J82" s="38"/>
      <c r="K82" s="83"/>
      <c r="L82" s="83"/>
      <c r="M82" s="38"/>
      <c r="N82" s="38"/>
      <c r="O82" s="82"/>
      <c r="P82" s="82"/>
      <c r="Q82" s="82"/>
      <c r="R82" s="82"/>
      <c r="S82" s="82"/>
    </row>
    <row r="83" spans="2:19" ht="43.5" hidden="1" customHeight="1">
      <c r="B83" s="50" t="s">
        <v>49</v>
      </c>
      <c r="C83" s="84" t="s">
        <v>291</v>
      </c>
      <c r="D83" s="85" t="s">
        <v>292</v>
      </c>
      <c r="E83" s="86" t="s">
        <v>293</v>
      </c>
      <c r="F83" s="87" t="s">
        <v>294</v>
      </c>
      <c r="G83" s="87" t="s">
        <v>28</v>
      </c>
      <c r="H83" s="88" t="s">
        <v>295</v>
      </c>
      <c r="I83" s="87" t="s">
        <v>296</v>
      </c>
      <c r="J83" s="248" t="s">
        <v>188</v>
      </c>
      <c r="K83" s="249"/>
      <c r="L83" s="250"/>
      <c r="M83" s="82"/>
      <c r="N83" s="82"/>
      <c r="O83" s="82"/>
      <c r="P83" s="82"/>
      <c r="Q83" s="82"/>
      <c r="R83" s="82"/>
      <c r="S83" s="82"/>
    </row>
    <row r="84" spans="2:19" ht="21" hidden="1">
      <c r="B84" s="71" t="s">
        <v>37</v>
      </c>
      <c r="C84" s="150">
        <v>400</v>
      </c>
      <c r="D84" s="151">
        <v>439</v>
      </c>
      <c r="E84" s="150">
        <v>450</v>
      </c>
      <c r="F84" s="150">
        <v>415</v>
      </c>
      <c r="G84" s="152">
        <f>F84-E84</f>
        <v>-35</v>
      </c>
      <c r="H84" s="153">
        <v>415</v>
      </c>
      <c r="I84" s="152">
        <f>F84-H84</f>
        <v>0</v>
      </c>
      <c r="J84" s="245"/>
      <c r="K84" s="246"/>
      <c r="L84" s="247"/>
    </row>
    <row r="85" spans="2:19" ht="21" hidden="1">
      <c r="B85" s="71" t="s">
        <v>40</v>
      </c>
      <c r="C85" s="150">
        <v>455</v>
      </c>
      <c r="D85" s="151">
        <v>435</v>
      </c>
      <c r="E85" s="150">
        <v>550</v>
      </c>
      <c r="F85" s="150">
        <v>540</v>
      </c>
      <c r="G85" s="152">
        <f>F85-E85</f>
        <v>-10</v>
      </c>
      <c r="H85" s="153">
        <v>415</v>
      </c>
      <c r="I85" s="152">
        <f>F85-H85</f>
        <v>125</v>
      </c>
      <c r="J85" s="245"/>
      <c r="K85" s="246"/>
      <c r="L85" s="247"/>
    </row>
    <row r="86" spans="2:19" ht="21" hidden="1">
      <c r="B86" s="71" t="s">
        <v>42</v>
      </c>
      <c r="C86" s="150">
        <v>382</v>
      </c>
      <c r="D86" s="151">
        <v>380</v>
      </c>
      <c r="E86" s="150">
        <v>550</v>
      </c>
      <c r="F86" s="150">
        <v>550</v>
      </c>
      <c r="G86" s="152">
        <f>F86-E86</f>
        <v>0</v>
      </c>
      <c r="H86" s="153">
        <v>415</v>
      </c>
      <c r="I86" s="152">
        <f>F86-H86</f>
        <v>135</v>
      </c>
      <c r="J86" s="245"/>
      <c r="K86" s="246"/>
      <c r="L86" s="247"/>
    </row>
    <row r="87" spans="2:19" ht="21" hidden="1">
      <c r="B87" s="71" t="s">
        <v>297</v>
      </c>
      <c r="C87" s="251"/>
      <c r="D87" s="284"/>
      <c r="E87" s="150">
        <v>565</v>
      </c>
      <c r="F87" s="150">
        <v>535</v>
      </c>
      <c r="G87" s="152">
        <f>F87-E87</f>
        <v>-30</v>
      </c>
      <c r="H87" s="153">
        <v>415</v>
      </c>
      <c r="I87" s="152">
        <f>F87-H87</f>
        <v>120</v>
      </c>
      <c r="J87" s="245"/>
      <c r="K87" s="246"/>
      <c r="L87" s="247"/>
    </row>
    <row r="88" spans="2:19" ht="21" hidden="1">
      <c r="B88" s="71" t="s">
        <v>298</v>
      </c>
      <c r="C88" s="243"/>
      <c r="D88" s="285"/>
      <c r="E88" s="150">
        <v>486</v>
      </c>
      <c r="F88" s="150">
        <v>499</v>
      </c>
      <c r="G88" s="152">
        <f>F88-E88</f>
        <v>13</v>
      </c>
      <c r="H88" s="153">
        <v>415</v>
      </c>
      <c r="I88" s="152">
        <f>F88-H88</f>
        <v>84</v>
      </c>
      <c r="J88" s="245"/>
      <c r="K88" s="246"/>
      <c r="L88" s="247"/>
    </row>
    <row r="89" spans="2:19" ht="21" hidden="1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</row>
    <row r="90" spans="2:19" ht="21">
      <c r="B90" s="80" t="s">
        <v>290</v>
      </c>
      <c r="C90" s="81">
        <f ca="1">NOW()-1</f>
        <v>46252.543665972225</v>
      </c>
      <c r="D90" s="181"/>
      <c r="E90" s="36"/>
      <c r="F90" s="36"/>
      <c r="G90" s="36"/>
      <c r="H90" s="36"/>
      <c r="I90" s="38"/>
      <c r="J90" s="38"/>
      <c r="K90" s="83"/>
      <c r="L90" s="83"/>
      <c r="M90" s="38"/>
      <c r="N90" s="38"/>
      <c r="O90" s="82"/>
      <c r="P90" s="82"/>
      <c r="Q90" s="82"/>
      <c r="R90" s="82"/>
      <c r="S90" s="82"/>
    </row>
    <row r="91" spans="2:19" ht="43.5" customHeight="1">
      <c r="B91" s="50" t="s">
        <v>49</v>
      </c>
      <c r="C91" s="84" t="s">
        <v>291</v>
      </c>
      <c r="D91" s="85" t="s">
        <v>292</v>
      </c>
      <c r="E91" s="86" t="s">
        <v>293</v>
      </c>
      <c r="F91" s="87" t="s">
        <v>294</v>
      </c>
      <c r="G91" s="87" t="s">
        <v>28</v>
      </c>
      <c r="H91" s="88" t="s">
        <v>295</v>
      </c>
      <c r="I91" s="87" t="s">
        <v>296</v>
      </c>
      <c r="J91" s="248" t="s">
        <v>188</v>
      </c>
      <c r="K91" s="249"/>
      <c r="L91" s="250"/>
      <c r="M91" s="82"/>
      <c r="N91" s="82"/>
      <c r="O91" s="82"/>
      <c r="P91" s="82"/>
      <c r="Q91" s="82"/>
      <c r="R91" s="82"/>
      <c r="S91" s="82"/>
    </row>
    <row r="92" spans="2:19" ht="21">
      <c r="B92" s="71" t="s">
        <v>37</v>
      </c>
      <c r="C92" s="150">
        <v>423</v>
      </c>
      <c r="D92" s="151">
        <v>417</v>
      </c>
      <c r="E92" s="150">
        <v>485</v>
      </c>
      <c r="F92" s="150">
        <v>535</v>
      </c>
      <c r="G92" s="152">
        <f>F92-E92</f>
        <v>50</v>
      </c>
      <c r="H92" s="153">
        <v>415</v>
      </c>
      <c r="I92" s="152">
        <f>F92-H92</f>
        <v>120</v>
      </c>
      <c r="J92" s="245"/>
      <c r="K92" s="246"/>
      <c r="L92" s="247"/>
    </row>
    <row r="93" spans="2:19" ht="21">
      <c r="B93" s="71" t="s">
        <v>40</v>
      </c>
      <c r="C93" s="150">
        <v>470</v>
      </c>
      <c r="D93" s="151">
        <v>501</v>
      </c>
      <c r="E93" s="150">
        <v>550</v>
      </c>
      <c r="F93" s="150">
        <v>550</v>
      </c>
      <c r="G93" s="152">
        <f>F93-E93</f>
        <v>0</v>
      </c>
      <c r="H93" s="153">
        <v>415</v>
      </c>
      <c r="I93" s="152">
        <f>F93-H93</f>
        <v>135</v>
      </c>
      <c r="J93" s="245"/>
      <c r="K93" s="246"/>
      <c r="L93" s="247"/>
    </row>
    <row r="94" spans="2:19" ht="21">
      <c r="B94" s="71" t="s">
        <v>42</v>
      </c>
      <c r="C94" s="150">
        <v>395</v>
      </c>
      <c r="D94" s="151">
        <v>398</v>
      </c>
      <c r="E94" s="150">
        <v>550</v>
      </c>
      <c r="F94" s="150">
        <v>535</v>
      </c>
      <c r="G94" s="152">
        <f>F94-E94</f>
        <v>-15</v>
      </c>
      <c r="H94" s="153">
        <v>415</v>
      </c>
      <c r="I94" s="152">
        <f>F94-H94</f>
        <v>120</v>
      </c>
      <c r="J94" s="245"/>
      <c r="K94" s="246"/>
      <c r="L94" s="247"/>
    </row>
    <row r="95" spans="2:19" ht="21">
      <c r="B95" s="71" t="s">
        <v>297</v>
      </c>
      <c r="C95" s="251"/>
      <c r="D95" s="284"/>
      <c r="E95" s="150">
        <v>565</v>
      </c>
      <c r="F95" s="150">
        <v>535</v>
      </c>
      <c r="G95" s="152">
        <f>F95-E95</f>
        <v>-30</v>
      </c>
      <c r="H95" s="153">
        <v>415</v>
      </c>
      <c r="I95" s="152">
        <f>F95-H95</f>
        <v>120</v>
      </c>
      <c r="J95" s="245"/>
      <c r="K95" s="246"/>
      <c r="L95" s="247"/>
    </row>
    <row r="96" spans="2:19" ht="21">
      <c r="B96" s="71" t="s">
        <v>298</v>
      </c>
      <c r="C96" s="243"/>
      <c r="D96" s="285"/>
      <c r="E96" s="150">
        <v>486</v>
      </c>
      <c r="F96" s="150">
        <v>507</v>
      </c>
      <c r="G96" s="152">
        <f>F96-E96</f>
        <v>21</v>
      </c>
      <c r="H96" s="153">
        <v>415</v>
      </c>
      <c r="I96" s="152">
        <f>F96-H96</f>
        <v>92</v>
      </c>
      <c r="J96" s="245"/>
      <c r="K96" s="246"/>
      <c r="L96" s="247"/>
    </row>
    <row r="97" spans="2:19" ht="21">
      <c r="B97" s="20"/>
      <c r="C97" s="213"/>
      <c r="D97" s="213"/>
      <c r="E97" s="213"/>
      <c r="F97" s="213"/>
      <c r="G97" s="213"/>
      <c r="H97" s="213"/>
      <c r="I97" s="214"/>
      <c r="J97" s="38"/>
      <c r="K97" s="38"/>
      <c r="L97" s="38"/>
    </row>
    <row r="98" spans="2:19" ht="31.5">
      <c r="B98" s="80" t="s">
        <v>299</v>
      </c>
      <c r="C98" s="193">
        <f ca="1">NOW()</f>
        <v>46253.543665972225</v>
      </c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8"/>
      <c r="O98" s="82"/>
      <c r="P98" s="82"/>
      <c r="Q98" s="82"/>
      <c r="R98" s="82"/>
      <c r="S98" s="82"/>
    </row>
    <row r="99" spans="2:19" ht="47.25" customHeight="1">
      <c r="B99" s="50" t="s">
        <v>49</v>
      </c>
      <c r="C99" s="194" t="s">
        <v>291</v>
      </c>
      <c r="D99" s="85" t="s">
        <v>292</v>
      </c>
      <c r="E99" s="86" t="s">
        <v>293</v>
      </c>
      <c r="F99" s="87" t="s">
        <v>294</v>
      </c>
      <c r="G99" s="87" t="s">
        <v>28</v>
      </c>
      <c r="H99" s="88" t="s">
        <v>295</v>
      </c>
      <c r="I99" s="87" t="s">
        <v>296</v>
      </c>
      <c r="J99" s="248" t="s">
        <v>188</v>
      </c>
      <c r="K99" s="249"/>
      <c r="L99" s="250"/>
      <c r="M99" s="82"/>
      <c r="N99" s="82"/>
      <c r="O99" s="82"/>
      <c r="P99" s="82"/>
      <c r="Q99" s="82"/>
      <c r="R99" s="82"/>
      <c r="S99" s="82"/>
    </row>
    <row r="100" spans="2:19" ht="21">
      <c r="B100" s="71" t="s">
        <v>37</v>
      </c>
      <c r="C100" s="150">
        <v>423</v>
      </c>
      <c r="D100" s="151">
        <v>445</v>
      </c>
      <c r="E100" s="154">
        <v>550</v>
      </c>
      <c r="F100" s="155">
        <v>655</v>
      </c>
      <c r="G100" s="152">
        <f>F100-E100</f>
        <v>105</v>
      </c>
      <c r="H100" s="153">
        <v>460</v>
      </c>
      <c r="I100" s="152">
        <f>F100-H100</f>
        <v>195</v>
      </c>
      <c r="J100" s="245"/>
      <c r="K100" s="246"/>
      <c r="L100" s="247"/>
      <c r="M100" s="82"/>
      <c r="N100" s="82"/>
      <c r="O100" s="82"/>
      <c r="P100" s="82"/>
      <c r="Q100" s="82"/>
      <c r="R100" s="82"/>
      <c r="S100" s="82"/>
    </row>
    <row r="101" spans="2:19" ht="21">
      <c r="B101" s="71" t="s">
        <v>40</v>
      </c>
      <c r="C101" s="150">
        <v>470</v>
      </c>
      <c r="D101" s="151">
        <v>510</v>
      </c>
      <c r="E101" s="156">
        <v>700</v>
      </c>
      <c r="F101" s="155">
        <v>700</v>
      </c>
      <c r="G101" s="152">
        <f>F101-E101</f>
        <v>0</v>
      </c>
      <c r="H101" s="153">
        <v>460</v>
      </c>
      <c r="I101" s="152">
        <f>F101-H101</f>
        <v>240</v>
      </c>
      <c r="J101" s="245"/>
      <c r="K101" s="246"/>
      <c r="L101" s="247"/>
      <c r="M101" s="82"/>
      <c r="N101" s="82"/>
      <c r="O101" s="82"/>
      <c r="P101" s="82"/>
      <c r="Q101" s="82"/>
      <c r="R101" s="82"/>
      <c r="S101" s="82"/>
    </row>
    <row r="102" spans="2:19" ht="21">
      <c r="B102" s="71" t="s">
        <v>41</v>
      </c>
      <c r="C102" s="157">
        <v>210</v>
      </c>
      <c r="D102" s="151">
        <v>220</v>
      </c>
      <c r="E102" s="156">
        <v>535</v>
      </c>
      <c r="F102" s="155">
        <v>555</v>
      </c>
      <c r="G102" s="152">
        <f>F102-E102</f>
        <v>20</v>
      </c>
      <c r="H102" s="153">
        <v>460</v>
      </c>
      <c r="I102" s="152">
        <f>F102-H102</f>
        <v>95</v>
      </c>
      <c r="J102" s="245"/>
      <c r="K102" s="246"/>
      <c r="L102" s="247"/>
      <c r="M102" s="82"/>
      <c r="N102" s="82"/>
      <c r="O102" s="82"/>
      <c r="P102" s="82"/>
      <c r="Q102" s="82"/>
      <c r="R102" s="82"/>
      <c r="S102" s="82"/>
    </row>
    <row r="103" spans="2:19" ht="21">
      <c r="B103" s="71" t="s">
        <v>42</v>
      </c>
      <c r="C103" s="157">
        <v>395</v>
      </c>
      <c r="D103" s="151">
        <v>392</v>
      </c>
      <c r="E103" s="156">
        <v>570</v>
      </c>
      <c r="F103" s="155">
        <v>665</v>
      </c>
      <c r="G103" s="152">
        <f>F103-E103</f>
        <v>95</v>
      </c>
      <c r="H103" s="153">
        <v>460</v>
      </c>
      <c r="I103" s="152">
        <f>F103-H103</f>
        <v>205</v>
      </c>
      <c r="J103" s="245"/>
      <c r="K103" s="246"/>
      <c r="L103" s="247"/>
      <c r="M103" s="82"/>
      <c r="N103" s="82"/>
      <c r="O103" s="82"/>
      <c r="P103" s="82"/>
      <c r="Q103" s="82"/>
      <c r="R103" s="82"/>
      <c r="S103" s="82"/>
    </row>
    <row r="104" spans="2:19" ht="21">
      <c r="B104" s="71" t="s">
        <v>297</v>
      </c>
      <c r="C104" s="251"/>
      <c r="D104" s="252"/>
      <c r="E104" s="156">
        <v>700</v>
      </c>
      <c r="F104" s="158">
        <v>670</v>
      </c>
      <c r="G104" s="152">
        <f>F104-E104</f>
        <v>-30</v>
      </c>
      <c r="H104" s="153">
        <v>460</v>
      </c>
      <c r="I104" s="152">
        <f>F104-H104</f>
        <v>210</v>
      </c>
      <c r="J104" s="245"/>
      <c r="K104" s="246"/>
      <c r="L104" s="247"/>
      <c r="M104" s="82"/>
      <c r="N104" s="82"/>
      <c r="O104" s="82"/>
      <c r="P104" s="82"/>
      <c r="Q104" s="82"/>
      <c r="R104" s="82"/>
      <c r="S104" s="82"/>
    </row>
    <row r="105" spans="2:19" ht="21">
      <c r="B105" s="71" t="s">
        <v>300</v>
      </c>
      <c r="C105" s="157">
        <v>450</v>
      </c>
      <c r="D105" s="151">
        <v>450</v>
      </c>
      <c r="E105" s="156">
        <v>640</v>
      </c>
      <c r="F105" s="155">
        <v>640</v>
      </c>
      <c r="G105" s="152">
        <f t="shared" ref="G105:G106" si="2">F105-E105</f>
        <v>0</v>
      </c>
      <c r="H105" s="153">
        <v>460</v>
      </c>
      <c r="I105" s="152">
        <f t="shared" ref="I105:I106" si="3">F105-H105</f>
        <v>180</v>
      </c>
      <c r="J105" s="245"/>
      <c r="K105" s="246"/>
      <c r="L105" s="247"/>
    </row>
    <row r="106" spans="2:19" ht="21">
      <c r="B106" s="71" t="s">
        <v>301</v>
      </c>
      <c r="C106" s="157">
        <v>450</v>
      </c>
      <c r="D106" s="151">
        <v>450</v>
      </c>
      <c r="E106" s="156">
        <v>640</v>
      </c>
      <c r="F106" s="155">
        <v>700</v>
      </c>
      <c r="G106" s="152">
        <f t="shared" si="2"/>
        <v>60</v>
      </c>
      <c r="H106" s="153">
        <v>460</v>
      </c>
      <c r="I106" s="152">
        <f t="shared" si="3"/>
        <v>240</v>
      </c>
      <c r="J106" s="245"/>
      <c r="K106" s="246"/>
      <c r="L106" s="247"/>
    </row>
    <row r="107" spans="2:19" ht="21">
      <c r="B107" s="71" t="s">
        <v>298</v>
      </c>
      <c r="C107" s="243"/>
      <c r="D107" s="244"/>
      <c r="E107" s="156">
        <v>580</v>
      </c>
      <c r="F107" s="158">
        <v>640</v>
      </c>
      <c r="G107" s="152">
        <f>F107-E107</f>
        <v>60</v>
      </c>
      <c r="H107" s="153">
        <v>460</v>
      </c>
      <c r="I107" s="152">
        <f>F107-H107</f>
        <v>180</v>
      </c>
      <c r="J107" s="245"/>
      <c r="K107" s="246"/>
      <c r="L107" s="247"/>
      <c r="M107" s="82"/>
      <c r="N107" s="82"/>
      <c r="O107" s="82"/>
      <c r="P107" s="82"/>
      <c r="Q107" s="82"/>
      <c r="R107" s="82"/>
      <c r="S107" s="82"/>
    </row>
    <row r="109" spans="2:19" ht="31.5" hidden="1">
      <c r="B109" s="80" t="s">
        <v>299</v>
      </c>
      <c r="C109" s="81">
        <f ca="1">NOW()</f>
        <v>46253.543665972225</v>
      </c>
      <c r="D109" s="36"/>
      <c r="E109" s="36"/>
      <c r="F109" s="36"/>
      <c r="G109" s="36"/>
      <c r="H109" s="36"/>
      <c r="I109" s="36"/>
      <c r="J109" s="36"/>
      <c r="K109" s="36"/>
      <c r="L109" s="36"/>
    </row>
    <row r="110" spans="2:19" ht="23.25" hidden="1" customHeight="1">
      <c r="B110" s="50" t="s">
        <v>49</v>
      </c>
      <c r="C110" s="84" t="s">
        <v>291</v>
      </c>
      <c r="D110" s="85" t="s">
        <v>292</v>
      </c>
      <c r="E110" s="86" t="s">
        <v>293</v>
      </c>
      <c r="F110" s="87" t="s">
        <v>294</v>
      </c>
      <c r="G110" s="87" t="s">
        <v>28</v>
      </c>
      <c r="H110" s="88" t="s">
        <v>295</v>
      </c>
      <c r="I110" s="87" t="s">
        <v>296</v>
      </c>
      <c r="J110" s="248" t="s">
        <v>188</v>
      </c>
      <c r="K110" s="249"/>
      <c r="L110" s="250"/>
    </row>
    <row r="111" spans="2:19" ht="21" hidden="1" customHeight="1">
      <c r="B111" s="71" t="s">
        <v>37</v>
      </c>
      <c r="C111" s="150">
        <v>400</v>
      </c>
      <c r="D111" s="151">
        <v>377</v>
      </c>
      <c r="E111" s="191">
        <v>550</v>
      </c>
      <c r="F111" s="155">
        <v>659</v>
      </c>
      <c r="G111" s="152">
        <f>F111-E111</f>
        <v>109</v>
      </c>
      <c r="H111" s="153">
        <v>460</v>
      </c>
      <c r="I111" s="152">
        <f>F111-H111</f>
        <v>199</v>
      </c>
      <c r="J111" s="245"/>
      <c r="K111" s="246"/>
      <c r="L111" s="247"/>
    </row>
    <row r="112" spans="2:19" ht="21" hidden="1" customHeight="1">
      <c r="B112" s="71" t="s">
        <v>40</v>
      </c>
      <c r="C112" s="150">
        <v>455</v>
      </c>
      <c r="D112" s="151">
        <v>482</v>
      </c>
      <c r="E112" s="192">
        <v>700</v>
      </c>
      <c r="F112" s="155">
        <v>677</v>
      </c>
      <c r="G112" s="152">
        <f>F112-E112</f>
        <v>-23</v>
      </c>
      <c r="H112" s="153">
        <v>460</v>
      </c>
      <c r="I112" s="152">
        <f>F112-H112</f>
        <v>217</v>
      </c>
      <c r="J112" s="245"/>
      <c r="K112" s="246"/>
      <c r="L112" s="247"/>
    </row>
    <row r="113" spans="2:12" ht="21" hidden="1" customHeight="1">
      <c r="B113" s="71" t="s">
        <v>41</v>
      </c>
      <c r="C113" s="157">
        <v>210</v>
      </c>
      <c r="D113" s="151">
        <v>231</v>
      </c>
      <c r="E113" s="192">
        <v>535</v>
      </c>
      <c r="F113" s="155">
        <v>668</v>
      </c>
      <c r="G113" s="152">
        <f>F113-E113</f>
        <v>133</v>
      </c>
      <c r="H113" s="153">
        <v>460</v>
      </c>
      <c r="I113" s="152">
        <f>F113-H113</f>
        <v>208</v>
      </c>
      <c r="J113" s="245"/>
      <c r="K113" s="246"/>
      <c r="L113" s="247"/>
    </row>
    <row r="114" spans="2:12" ht="21" hidden="1" customHeight="1">
      <c r="B114" s="71" t="s">
        <v>42</v>
      </c>
      <c r="C114" s="157">
        <v>400</v>
      </c>
      <c r="D114" s="151">
        <v>416</v>
      </c>
      <c r="E114" s="192">
        <v>460</v>
      </c>
      <c r="F114" s="155">
        <v>460</v>
      </c>
      <c r="G114" s="152">
        <f>F114-E114</f>
        <v>0</v>
      </c>
      <c r="H114" s="153">
        <v>460</v>
      </c>
      <c r="I114" s="152">
        <f>F114-H114</f>
        <v>0</v>
      </c>
      <c r="J114" s="245"/>
      <c r="K114" s="246"/>
      <c r="L114" s="247"/>
    </row>
    <row r="115" spans="2:12" ht="21" hidden="1" customHeight="1">
      <c r="B115" s="71" t="s">
        <v>297</v>
      </c>
      <c r="C115" s="251"/>
      <c r="D115" s="252"/>
      <c r="E115" s="192">
        <v>700</v>
      </c>
      <c r="F115" s="158">
        <v>700</v>
      </c>
      <c r="G115" s="152">
        <f>F115-E115</f>
        <v>0</v>
      </c>
      <c r="H115" s="153">
        <v>460</v>
      </c>
      <c r="I115" s="152">
        <f>F115-H115</f>
        <v>240</v>
      </c>
      <c r="J115" s="245"/>
      <c r="K115" s="246"/>
      <c r="L115" s="247"/>
    </row>
    <row r="116" spans="2:12" ht="21" hidden="1" customHeight="1">
      <c r="B116" s="71" t="s">
        <v>300</v>
      </c>
      <c r="C116" s="157">
        <v>450</v>
      </c>
      <c r="D116" s="151">
        <v>425</v>
      </c>
      <c r="E116" s="192">
        <v>640</v>
      </c>
      <c r="F116" s="155">
        <v>640</v>
      </c>
      <c r="G116" s="152">
        <f>F116-E116</f>
        <v>0</v>
      </c>
      <c r="H116" s="153">
        <v>460</v>
      </c>
      <c r="I116" s="152">
        <f>F116-H116</f>
        <v>180</v>
      </c>
      <c r="J116" s="245"/>
      <c r="K116" s="246"/>
      <c r="L116" s="247"/>
    </row>
    <row r="117" spans="2:12" ht="21" hidden="1" customHeight="1">
      <c r="B117" s="71" t="s">
        <v>301</v>
      </c>
      <c r="C117" s="157">
        <v>450</v>
      </c>
      <c r="D117" s="151">
        <v>410</v>
      </c>
      <c r="E117" s="192">
        <v>640</v>
      </c>
      <c r="F117" s="155">
        <v>700</v>
      </c>
      <c r="G117" s="152">
        <f>F117-E117</f>
        <v>60</v>
      </c>
      <c r="H117" s="153">
        <v>460</v>
      </c>
      <c r="I117" s="152">
        <f>F117-H117</f>
        <v>240</v>
      </c>
      <c r="J117" s="245"/>
      <c r="K117" s="246"/>
      <c r="L117" s="247"/>
    </row>
    <row r="118" spans="2:12" ht="21" hidden="1" customHeight="1">
      <c r="B118" s="71" t="s">
        <v>298</v>
      </c>
      <c r="C118" s="243"/>
      <c r="D118" s="244"/>
      <c r="E118" s="192">
        <v>580</v>
      </c>
      <c r="F118" s="158">
        <v>589</v>
      </c>
      <c r="G118" s="152">
        <f>F118-E118</f>
        <v>9</v>
      </c>
      <c r="H118" s="153">
        <v>460</v>
      </c>
      <c r="I118" s="152">
        <f>F118-H118</f>
        <v>129</v>
      </c>
      <c r="J118" s="245"/>
      <c r="K118" s="246"/>
      <c r="L118" s="247"/>
    </row>
    <row r="119" spans="2:12" hidden="1"/>
  </sheetData>
  <mergeCells count="172">
    <mergeCell ref="P5:P15"/>
    <mergeCell ref="M5:O5"/>
    <mergeCell ref="K11:L11"/>
    <mergeCell ref="M11:O11"/>
    <mergeCell ref="M12:O12"/>
    <mergeCell ref="K9:L9"/>
    <mergeCell ref="K10:L10"/>
    <mergeCell ref="M10:O10"/>
    <mergeCell ref="K12:L12"/>
    <mergeCell ref="M13:O13"/>
    <mergeCell ref="M14:O14"/>
    <mergeCell ref="M15:O15"/>
    <mergeCell ref="N34:O34"/>
    <mergeCell ref="N35:O35"/>
    <mergeCell ref="N36:O36"/>
    <mergeCell ref="N37:O37"/>
    <mergeCell ref="N38:O38"/>
    <mergeCell ref="N39:O39"/>
    <mergeCell ref="N40:O40"/>
    <mergeCell ref="N41:O41"/>
    <mergeCell ref="K18:S18"/>
    <mergeCell ref="K19:S19"/>
    <mergeCell ref="K29:S29"/>
    <mergeCell ref="L35:M35"/>
    <mergeCell ref="L38:M38"/>
    <mergeCell ref="K21:S21"/>
    <mergeCell ref="K22:S22"/>
    <mergeCell ref="K23:S23"/>
    <mergeCell ref="K24:S24"/>
    <mergeCell ref="K25:S25"/>
    <mergeCell ref="K26:S26"/>
    <mergeCell ref="C107:D107"/>
    <mergeCell ref="J107:L107"/>
    <mergeCell ref="C88:D88"/>
    <mergeCell ref="J88:L88"/>
    <mergeCell ref="J99:L99"/>
    <mergeCell ref="J100:L100"/>
    <mergeCell ref="J101:L101"/>
    <mergeCell ref="J102:L102"/>
    <mergeCell ref="J105:L105"/>
    <mergeCell ref="J106:L106"/>
    <mergeCell ref="J103:L103"/>
    <mergeCell ref="C104:D104"/>
    <mergeCell ref="J104:L104"/>
    <mergeCell ref="J91:L91"/>
    <mergeCell ref="J92:L92"/>
    <mergeCell ref="J93:L93"/>
    <mergeCell ref="J94:L94"/>
    <mergeCell ref="C95:D95"/>
    <mergeCell ref="J95:L95"/>
    <mergeCell ref="C96:D96"/>
    <mergeCell ref="J96:L96"/>
    <mergeCell ref="C87:D87"/>
    <mergeCell ref="J87:L87"/>
    <mergeCell ref="L47:M47"/>
    <mergeCell ref="L48:M48"/>
    <mergeCell ref="L49:M49"/>
    <mergeCell ref="J77:K77"/>
    <mergeCell ref="K63:M63"/>
    <mergeCell ref="K64:M64"/>
    <mergeCell ref="K65:M65"/>
    <mergeCell ref="K66:M66"/>
    <mergeCell ref="K67:M67"/>
    <mergeCell ref="K68:M68"/>
    <mergeCell ref="K69:M69"/>
    <mergeCell ref="K57:M57"/>
    <mergeCell ref="K58:M58"/>
    <mergeCell ref="K59:M59"/>
    <mergeCell ref="K60:M60"/>
    <mergeCell ref="K61:M61"/>
    <mergeCell ref="K62:M62"/>
    <mergeCell ref="J83:L83"/>
    <mergeCell ref="J84:L84"/>
    <mergeCell ref="K70:M70"/>
    <mergeCell ref="J85:L85"/>
    <mergeCell ref="J86:L86"/>
    <mergeCell ref="B73:B78"/>
    <mergeCell ref="C73:C78"/>
    <mergeCell ref="D73:D78"/>
    <mergeCell ref="E73:E78"/>
    <mergeCell ref="B34:B48"/>
    <mergeCell ref="C34:C48"/>
    <mergeCell ref="D34:D48"/>
    <mergeCell ref="E34:E48"/>
    <mergeCell ref="L36:M36"/>
    <mergeCell ref="L37:M37"/>
    <mergeCell ref="J72:K72"/>
    <mergeCell ref="J78:K78"/>
    <mergeCell ref="J73:K73"/>
    <mergeCell ref="J74:K74"/>
    <mergeCell ref="J75:K75"/>
    <mergeCell ref="J76:K76"/>
    <mergeCell ref="L45:M45"/>
    <mergeCell ref="L46:M46"/>
    <mergeCell ref="L39:M39"/>
    <mergeCell ref="L43:M43"/>
    <mergeCell ref="L34:M34"/>
    <mergeCell ref="K54:M54"/>
    <mergeCell ref="K55:M55"/>
    <mergeCell ref="K56:M56"/>
    <mergeCell ref="F3:G3"/>
    <mergeCell ref="F33:N33"/>
    <mergeCell ref="H5:J5"/>
    <mergeCell ref="F7:G7"/>
    <mergeCell ref="K14:L14"/>
    <mergeCell ref="F12:G12"/>
    <mergeCell ref="F13:G13"/>
    <mergeCell ref="F14:G14"/>
    <mergeCell ref="F10:G10"/>
    <mergeCell ref="F11:G11"/>
    <mergeCell ref="K13:L13"/>
    <mergeCell ref="K27:S27"/>
    <mergeCell ref="K28:S28"/>
    <mergeCell ref="M4:O4"/>
    <mergeCell ref="M6:O6"/>
    <mergeCell ref="M7:O7"/>
    <mergeCell ref="K30:S30"/>
    <mergeCell ref="K31:S31"/>
    <mergeCell ref="K20:S20"/>
    <mergeCell ref="F15:G15"/>
    <mergeCell ref="H11:J11"/>
    <mergeCell ref="H12:J12"/>
    <mergeCell ref="H13:J13"/>
    <mergeCell ref="H14:J14"/>
    <mergeCell ref="H15:J15"/>
    <mergeCell ref="H6:J6"/>
    <mergeCell ref="H7:J7"/>
    <mergeCell ref="H8:J8"/>
    <mergeCell ref="H9:J9"/>
    <mergeCell ref="H10:J10"/>
    <mergeCell ref="K4:L4"/>
    <mergeCell ref="K5:L5"/>
    <mergeCell ref="K6:L6"/>
    <mergeCell ref="K7:L7"/>
    <mergeCell ref="K8:L8"/>
    <mergeCell ref="K15:L15"/>
    <mergeCell ref="F8:G8"/>
    <mergeCell ref="F9:G9"/>
    <mergeCell ref="M8:O8"/>
    <mergeCell ref="M9:O9"/>
    <mergeCell ref="F5:G5"/>
    <mergeCell ref="F6:G6"/>
    <mergeCell ref="F4:G4"/>
    <mergeCell ref="H4:J4"/>
    <mergeCell ref="C118:D118"/>
    <mergeCell ref="J118:L118"/>
    <mergeCell ref="J110:L110"/>
    <mergeCell ref="J111:L111"/>
    <mergeCell ref="J112:L112"/>
    <mergeCell ref="J113:L113"/>
    <mergeCell ref="J114:L114"/>
    <mergeCell ref="C115:D115"/>
    <mergeCell ref="J115:L115"/>
    <mergeCell ref="J116:L116"/>
    <mergeCell ref="J117:L117"/>
    <mergeCell ref="N51:O51"/>
    <mergeCell ref="N52:O52"/>
    <mergeCell ref="K51:M51"/>
    <mergeCell ref="K52:M52"/>
    <mergeCell ref="K53:M53"/>
    <mergeCell ref="R49:S49"/>
    <mergeCell ref="L42:M42"/>
    <mergeCell ref="N42:O42"/>
    <mergeCell ref="L40:M40"/>
    <mergeCell ref="N43:O43"/>
    <mergeCell ref="N44:O44"/>
    <mergeCell ref="N45:O45"/>
    <mergeCell ref="N46:O46"/>
    <mergeCell ref="N47:O47"/>
    <mergeCell ref="L44:M44"/>
    <mergeCell ref="N48:O48"/>
    <mergeCell ref="L41:M41"/>
  </mergeCells>
  <conditionalFormatting sqref="D100">
    <cfRule type="cellIs" dxfId="23" priority="26" operator="lessThan">
      <formula>$D$190</formula>
    </cfRule>
  </conditionalFormatting>
  <conditionalFormatting sqref="D101">
    <cfRule type="cellIs" dxfId="22" priority="27" operator="lessThan">
      <formula>$D$191</formula>
    </cfRule>
  </conditionalFormatting>
  <conditionalFormatting sqref="D102">
    <cfRule type="cellIs" dxfId="21" priority="28" operator="lessThan">
      <formula>$D$192</formula>
    </cfRule>
  </conditionalFormatting>
  <conditionalFormatting sqref="D103">
    <cfRule type="cellIs" dxfId="20" priority="29" operator="lessThan">
      <formula>$D$193</formula>
    </cfRule>
  </conditionalFormatting>
  <conditionalFormatting sqref="D105:D106">
    <cfRule type="cellIs" dxfId="19" priority="14" operator="lessThan">
      <formula>$D$193</formula>
    </cfRule>
  </conditionalFormatting>
  <conditionalFormatting sqref="D111">
    <cfRule type="cellIs" dxfId="18" priority="8" operator="lessThan">
      <formula>$D$190</formula>
    </cfRule>
  </conditionalFormatting>
  <conditionalFormatting sqref="D112">
    <cfRule type="cellIs" dxfId="17" priority="9" operator="lessThan">
      <formula>$D$191</formula>
    </cfRule>
  </conditionalFormatting>
  <conditionalFormatting sqref="D113">
    <cfRule type="cellIs" dxfId="16" priority="10" operator="lessThan">
      <formula>$D$192</formula>
    </cfRule>
  </conditionalFormatting>
  <conditionalFormatting sqref="D114">
    <cfRule type="cellIs" dxfId="15" priority="11" operator="lessThan">
      <formula>$D$193</formula>
    </cfRule>
  </conditionalFormatting>
  <conditionalFormatting sqref="D116:D117">
    <cfRule type="cellIs" dxfId="14" priority="7" operator="lessThan">
      <formula>$D$193</formula>
    </cfRule>
  </conditionalFormatting>
  <conditionalFormatting sqref="E5:E15 E19:E31">
    <cfRule type="cellIs" dxfId="13" priority="36" operator="equal">
      <formula>0</formula>
    </cfRule>
    <cfRule type="cellIs" dxfId="12" priority="37" operator="greaterThan">
      <formula>0</formula>
    </cfRule>
  </conditionalFormatting>
  <conditionalFormatting sqref="E34 E49 E73">
    <cfRule type="cellIs" dxfId="11" priority="30" operator="lessThan">
      <formula>0</formula>
    </cfRule>
    <cfRule type="cellIs" dxfId="10" priority="31" operator="greaterThan">
      <formula>-1</formula>
    </cfRule>
  </conditionalFormatting>
  <conditionalFormatting sqref="G100:G107">
    <cfRule type="cellIs" dxfId="9" priority="32" operator="greaterThan">
      <formula>-1</formula>
    </cfRule>
    <cfRule type="cellIs" dxfId="8" priority="33" operator="lessThan">
      <formula>0</formula>
    </cfRule>
  </conditionalFormatting>
  <conditionalFormatting sqref="G111:G118">
    <cfRule type="cellIs" dxfId="7" priority="12" operator="greaterThan">
      <formula>-1</formula>
    </cfRule>
    <cfRule type="cellIs" dxfId="6" priority="13" operator="lessThan">
      <formula>0</formula>
    </cfRule>
  </conditionalFormatting>
  <conditionalFormatting sqref="D92:D94">
    <cfRule type="cellIs" dxfId="5" priority="4" operator="lessThan">
      <formula>$D$190</formula>
    </cfRule>
  </conditionalFormatting>
  <conditionalFormatting sqref="G92:G96">
    <cfRule type="cellIs" dxfId="4" priority="5" operator="greaterThan">
      <formula>-1</formula>
    </cfRule>
    <cfRule type="cellIs" dxfId="3" priority="6" operator="lessThan">
      <formula>0</formula>
    </cfRule>
  </conditionalFormatting>
  <conditionalFormatting sqref="G84:G88">
    <cfRule type="cellIs" dxfId="2" priority="2" operator="greaterThan">
      <formula>-1</formula>
    </cfRule>
    <cfRule type="cellIs" dxfId="1" priority="3" operator="lessThan">
      <formula>0</formula>
    </cfRule>
  </conditionalFormatting>
  <conditionalFormatting sqref="D84:D86">
    <cfRule type="cellIs" dxfId="0" priority="1" operator="lessThan">
      <formula>$D$190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523F0-1D30-46B7-BB97-A59125ED6A20}">
  <dimension ref="A1"/>
  <sheetViews>
    <sheetView workbookViewId="0">
      <selection activeCell="N4" sqref="N4"/>
    </sheetView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72602-DA13-4C8A-AF6E-3598140F0094}">
  <dimension ref="A1:B4"/>
  <sheetViews>
    <sheetView workbookViewId="0"/>
  </sheetViews>
  <sheetFormatPr defaultRowHeight="15"/>
  <sheetData>
    <row r="1" spans="1:2">
      <c r="B1" t="s">
        <v>302</v>
      </c>
    </row>
    <row r="2" spans="1:2">
      <c r="A2" t="s">
        <v>303</v>
      </c>
      <c r="B2">
        <v>1</v>
      </c>
    </row>
    <row r="3" spans="1:2">
      <c r="B3">
        <v>2</v>
      </c>
    </row>
    <row r="4" spans="1:2">
      <c r="B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Sapriadi</dc:creator>
  <cp:keywords/>
  <dc:description/>
  <cp:lastModifiedBy/>
  <cp:revision/>
  <dcterms:created xsi:type="dcterms:W3CDTF">2026-05-08T03:27:41Z</dcterms:created>
  <dcterms:modified xsi:type="dcterms:W3CDTF">2026-08-19T06:03:11Z</dcterms:modified>
  <cp:category/>
  <cp:contentStatus/>
</cp:coreProperties>
</file>